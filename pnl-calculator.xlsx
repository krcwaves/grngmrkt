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Log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<sst xmlns="http://schemas.openxmlformats.org/spreadsheetml/2006/main" count="39" uniqueCount="37">
  <si>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The5ers  |  $2,500 High Stakes  |  Trade Tracker</t>
  </si>
  <si>
    <t xml:space="preserve">Balance</t>
  </si>
  <si>
    <t xml:space="preserve">Today P&amp;L</t>
  </si>
  <si>
    <t xml:space="preserve">Total P&amp;L</t>
  </si>
  <si>
    <t xml:space="preserve">Win Rate</t>
  </si>
  <si>
    <t xml:space="preserve">Daily Limit Left</t>
  </si>
  <si>
    <t xml:space="preserve">DD Remaining</t>
  </si>
  <si>
    <t xml:space="preserve">💡 Just type the day number (e.g. 11) in the Day column — the full date fills automatically</t>
  </si>
  <si>
    <t xml:space="preserve">Day</t>
  </si>
  <si>
    <t xml:space="preserve">Date</t>
  </si>
  <si>
    <t xml:space="preserve">R:R</t>
  </si>
  <si>
    <t xml:space="preserve">P&amp;L ($)</t>
  </si>
  <si>
    <t xml:space="preserve">Balance ($)</t>
  </si>
  <si>
    <t xml:space="preserve">Notes</t>
  </si>
  <si>
    <t xml:space="preserve">TOTAL</t>
  </si>
  <si>
    <t xml:space="preserve">Account Dashboard  —  The5ers $2,500</t>
  </si>
  <si>
    <t xml:space="preserve">📊  ACCOUNT SUMMARY</t>
  </si>
  <si>
    <t xml:space="preserve">Account Size</t>
  </si>
  <si>
    <t xml:space="preserve">Current Balance</t>
  </si>
  <si>
    <t xml:space="preserve">Total P&amp;L ($)</t>
  </si>
  <si>
    <t xml:space="preserve">Total P&amp;L (%)</t>
  </si>
  <si>
    <t xml:space="preserve">Current Phase</t>
  </si>
  <si>
    <t xml:space="preserve">⚠️  RISK LIMITS</t>
  </si>
  <si>
    <t xml:space="preserve">Today's P&amp;L</t>
  </si>
  <si>
    <t xml:space="preserve">Daily Loss Used</t>
  </si>
  <si>
    <t xml:space="preserve">Daily Limit Remaining</t>
  </si>
  <si>
    <t xml:space="preserve">Overall Drawdown</t>
  </si>
  <si>
    <t xml:space="preserve">📈  PERFORMANCE</t>
  </si>
  <si>
    <t xml:space="preserve">Total Trades</t>
  </si>
  <si>
    <t xml:space="preserve">🎯  CHALLENGE PROGRESS</t>
  </si>
  <si>
    <t xml:space="preserve">Step 1 Progress (8%)</t>
  </si>
  <si>
    <t xml:space="preserve">Step 2 Progress (5%)</t>
  </si>
  <si>
    <t xml:space="preserve">🚦  ALERTS</t>
  </si>
  <si>
    <t xml:space="preserve">Daily Loss</t>
  </si>
  <si>
    <t xml:space="preserve">Max Drawdown</t>
  </si>
  <si>
    <t xml:space="preserve">Step 1</t>
  </si>
  <si>
    <t xml:space="preserve">Step 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</si>
</sst>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\$#,##0.00;&quot;($&quot;#,##0.00\);\-"/>
    <numFmt numFmtId="167" formatCode="0.0%"/>
    <numFmt numFmtId="168" formatCode="0"/>
    <numFmt numFmtId="169" formatCode="dd/mm/yyyy"/>
    <numFmt numFmtId="170" formatCode="0.00\R"/>
    <numFmt numFmtId="171" formatCode="\$#,##0.00;&quot;($&quot;#,##0.00\);\-"/>
    <numFmt numFmtId="172" formatCode="\$#,##0.00"/>
    <numFmt numFmtId="173" formatCode="\$#,##0"/>
    <numFmt numFmtId="174" formatCode="0.00%;\(0.00%\);\-"/>
    <numFmt numFmtId="175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3"/>
      <color rgb="FF1E3A5F"/>
      <name val="Arial"/>
      <family val="0"/>
      <charset val="1"/>
    </font>
    <font>
      <b val="true"/>
      <sz val="11"/>
      <color rgb="FF2D7D46"/>
      <name val="Courier New"/>
      <family val="0"/>
      <charset val="1"/>
    </font>
    <font>
      <b val="true"/>
      <sz val="11"/>
      <color rgb="FF1A6FC4"/>
      <name val="Courier New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33333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1E3A5F"/>
        <bgColor rgb="FF333333"/>
      </patternFill>
    </fill>
    <fill>
      <patternFill patternType="solid">
        <fgColor rgb="FFF5F5F5"/>
        <bgColor rgb="FFEDF4FF"/>
      </patternFill>
    </fill>
    <fill>
      <patternFill patternType="solid">
        <fgColor rgb="FFEAF5EC"/>
        <bgColor rgb="FFEDF4FF"/>
      </patternFill>
    </fill>
    <fill>
      <patternFill patternType="solid">
        <fgColor rgb="FFEDF4FF"/>
        <bgColor rgb="FFF5F5F5"/>
      </patternFill>
    </fill>
    <fill>
      <patternFill patternType="solid">
        <fgColor rgb="FFFFF3CD"/>
        <bgColor rgb="FFF5F5F5"/>
      </patternFill>
    </fill>
    <fill>
      <patternFill patternType="solid">
        <fgColor rgb="FFE8E8E8"/>
        <bgColor rgb="FFEAF5EC"/>
      </patternFill>
    </fill>
    <fill>
      <patternFill patternType="solid">
        <fgColor rgb="FF2D5986"/>
        <bgColor rgb="FF555555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BBBBB"/>
      </bottom>
      <diagonal/>
    </border>
    <border diagonalUp="false" diagonalDown="false">
      <left style="medium">
        <color rgb="FF2D7D46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6FC4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E0A800"/>
      </left>
      <right/>
      <top style="thin">
        <color rgb="FFE0A800"/>
      </top>
      <bottom style="thin">
        <color rgb="FFE0A8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999999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FFFFFF"/>
      </font>
      <fill>
        <patternFill>
          <bgColor rgb="FF2E7D32"/>
        </patternFill>
      </fill>
    </dxf>
    <dxf>
      <font>
        <b val="1"/>
        <color rgb="FFFFFFFF"/>
      </font>
      <fill>
        <patternFill>
          <bgColor rgb="FFC62828"/>
        </patternFill>
      </fill>
    </dxf>
    <dxf>
      <font>
        <b val="1"/>
        <color rgb="FFFFFFFF"/>
      </font>
      <fill>
        <patternFill>
          <bgColor rgb="FF2E7D32"/>
        </patternFill>
      </fill>
    </dxf>
    <dxf>
      <font>
        <b val="1"/>
        <color rgb="FFFFFFFF"/>
      </font>
      <fill>
        <patternFill>
          <bgColor rgb="FFC6282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EAF5EC"/>
      <rgbColor rgb="FF660066"/>
      <rgbColor rgb="FFFF8080"/>
      <rgbColor rgb="FF1A6FC4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F"/>
      <rgbColor rgb="FFE8E8E8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800"/>
      <rgbColor rgb="FFFF6600"/>
      <rgbColor rgb="FF555555"/>
      <rgbColor rgb="FF999999"/>
      <rgbColor rgb="FF1E3A5F"/>
      <rgbColor rgb="FF2D7D46"/>
      <rgbColor rgb="FF003300"/>
      <rgbColor rgb="FF333300"/>
      <rgbColor rgb="FFC62828"/>
      <rgbColor rgb="FF993366"/>
      <rgbColor rgb="FF2D59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H1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6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2"/>
    <col collapsed="false" customWidth="true" hidden="false" outlineLevel="0" max="8" min="8" style="1" width="1.51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  <c r="H1" s="3"/>
    </row>
    <row r="2" customFormat="false" ht="42" hidden="false" customHeight="true" outlineLevel="0" collapsed="false">
      <c r="A2" s="2"/>
      <c r="B2" s="4" t="s">
        <v>0</v>
      </c>
      <c r="C2" s="4"/>
      <c r="D2" s="4"/>
      <c r="E2" s="4"/>
      <c r="F2" s="4"/>
      <c r="G2" s="2"/>
      <c r="H2" s="5" t="n">
        <v>2500</v>
      </c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3"/>
    </row>
    <row r="4" customFormat="false" ht="21.75" hidden="false" customHeight="true" outlineLevel="0" collapsed="false">
      <c r="A4" s="2"/>
      <c r="B4" s="6" t="s">
        <v>1</v>
      </c>
      <c r="C4" s="7" t="n">
        <f aca="false">H4</f>
        <v>2500</v>
      </c>
      <c r="D4" s="6" t="s">
        <v>2</v>
      </c>
      <c r="E4" s="8" t="n">
        <f aca="false">H7</f>
        <v>0</v>
      </c>
      <c r="F4" s="9" t="str">
        <f aca="false">H14</f>
        <v>Step 1</v>
      </c>
      <c r="G4" s="2"/>
      <c r="H4" s="3" t="n">
        <f aca="false">H2+IFERROR(SUM(E14:E10000),0)</f>
        <v>2500</v>
      </c>
    </row>
    <row r="5" customFormat="false" ht="21.75" hidden="false" customHeight="true" outlineLevel="0" collapsed="false">
      <c r="A5" s="2"/>
      <c r="B5" s="6" t="s">
        <v>3</v>
      </c>
      <c r="C5" s="8" t="n">
        <f aca="false">H5</f>
        <v>0</v>
      </c>
      <c r="D5" s="6" t="s">
        <v>4</v>
      </c>
      <c r="E5" s="10" t="n">
        <f aca="false">H13</f>
        <v>0</v>
      </c>
      <c r="F5" s="9"/>
      <c r="G5" s="2"/>
      <c r="H5" s="3" t="n">
        <f aca="false">H4-H2</f>
        <v>0</v>
      </c>
    </row>
    <row r="6" customFormat="false" ht="21.75" hidden="false" customHeight="true" outlineLevel="0" collapsed="false">
      <c r="A6" s="2"/>
      <c r="B6" s="11" t="s">
        <v>5</v>
      </c>
      <c r="C6" s="12" t="n">
        <f aca="false">H9</f>
        <v>125</v>
      </c>
      <c r="D6" s="11" t="s">
        <v>6</v>
      </c>
      <c r="E6" s="12" t="n">
        <f aca="false">H11</f>
        <v>250</v>
      </c>
      <c r="F6" s="9"/>
      <c r="G6" s="2"/>
      <c r="H6" s="3" t="n">
        <f aca="false">IFERROR(H5/H2,0)</f>
        <v>0</v>
      </c>
    </row>
    <row r="7" customFormat="false" ht="9.75" hidden="false" customHeight="true" outlineLevel="0" collapsed="false">
      <c r="A7" s="2"/>
      <c r="B7" s="2"/>
      <c r="C7" s="2"/>
      <c r="D7" s="2"/>
      <c r="E7" s="2"/>
      <c r="F7" s="2"/>
      <c r="G7" s="2"/>
      <c r="H7" s="3" t="n">
        <f aca="true">IFERROR(SUMIF(C14:C10000,TODAY(),E14:E10000),0)</f>
        <v>0</v>
      </c>
    </row>
    <row r="8" customFormat="false" ht="30" hidden="false" customHeight="true" outlineLevel="0" collapsed="false">
      <c r="A8" s="2"/>
      <c r="B8" s="13" t="str">
        <f aca="false">IF(H15&gt;=1,"✅ STEP 1 COMPLETE — Now in Step 2!","Step 1 — Profit Target: 8%  ($200)     "&amp;REPT("█",MIN(ROUND(H15*20,0),20))&amp;REPT("░",MAX(20-ROUND(H15*20,0),0))&amp;"  "&amp;TEXT(MIN(H15,1),"0.0%"))</f>
        <v>Step 1 — Profit Target: 8%  ($200)     ░░░░░░░░░░░░░░░░░░░░  0.0%</v>
      </c>
      <c r="C8" s="13"/>
      <c r="D8" s="13"/>
      <c r="E8" s="13"/>
      <c r="F8" s="13"/>
      <c r="G8" s="2"/>
      <c r="H8" s="3" t="n">
        <f aca="false">IFERROR(ABS(MIN(H7,0))/H2,0)</f>
        <v>0</v>
      </c>
    </row>
    <row r="9" customFormat="false" ht="9.75" hidden="false" customHeight="true" outlineLevel="0" collapsed="false">
      <c r="A9" s="2"/>
      <c r="B9" s="2"/>
      <c r="C9" s="2"/>
      <c r="D9" s="2"/>
      <c r="E9" s="2"/>
      <c r="F9" s="2"/>
      <c r="G9" s="2"/>
      <c r="H9" s="3" t="n">
        <f aca="false">H2*0.05-ABS(MIN(H7,0))</f>
        <v>125</v>
      </c>
    </row>
    <row r="10" customFormat="false" ht="27.75" hidden="false" customHeight="true" outlineLevel="0" collapsed="false">
      <c r="A10" s="2"/>
      <c r="B10" s="14" t="str">
        <f aca="false">IF(H15&lt;1,"⏳ Complete Step 1 first",IF(H16&gt;=1,"🏆 STEP 2 COMPLETE — You're Funded!","Step 2 — Profit Target: 5%  ($125)     "&amp;REPT("█",MIN(ROUND(H16*20,0),20))&amp;REPT("░",MAX(20-ROUND(H16*20,0),0))&amp;"  "&amp;TEXT(MIN(H16,1),"0.0%")))</f>
        <v>⏳ Complete Step 1 first</v>
      </c>
      <c r="C10" s="14"/>
      <c r="D10" s="14"/>
      <c r="E10" s="14"/>
      <c r="F10" s="14"/>
      <c r="G10" s="2"/>
      <c r="H10" s="3" t="n">
        <f aca="false">IFERROR(ABS(MIN(H5,0))/H2,0)</f>
        <v>0</v>
      </c>
    </row>
    <row r="11" customFormat="false" ht="15.75" hidden="false" customHeight="true" outlineLevel="0" collapsed="false">
      <c r="A11" s="2"/>
      <c r="B11" s="15" t="s">
        <v>7</v>
      </c>
      <c r="C11" s="15"/>
      <c r="D11" s="15"/>
      <c r="E11" s="15"/>
      <c r="F11" s="15"/>
      <c r="G11" s="15"/>
      <c r="H11" s="3" t="n">
        <f aca="false">H2*0.1-ABS(MIN(H5,0))</f>
        <v>250</v>
      </c>
    </row>
    <row r="12" customFormat="false" ht="27.75" hidden="false" customHeight="true" outlineLevel="0" collapsed="false">
      <c r="A12" s="2"/>
      <c r="B12" s="16" t="str">
        <f aca="false">IF(H8&gt;=0.05,"⚠️  DAILY LOSS LIMIT REACHED ($125)  —  STOP TRADING TODAY",IF(H8&gt;=0.03,"⚠️  Caution: "&amp;TEXT(H8,"0.0%")&amp;" of daily limit used  ($"&amp;TEXT(ABS(MIN(H7,0)),"#,##0.00")&amp;" / $125)","✅  Daily loss OK  — "&amp;TEXT(H9,"$#,##0.00")&amp;" remaining today"))</f>
        <v>✅  Daily loss OK  — $125.00 remaining today</v>
      </c>
      <c r="C12" s="16"/>
      <c r="D12" s="16"/>
      <c r="E12" s="16"/>
      <c r="F12" s="16"/>
      <c r="G12" s="2"/>
      <c r="H12" s="3" t="n">
        <f aca="false">COUNTA(B14:B10000)</f>
        <v>1</v>
      </c>
    </row>
    <row r="13" customFormat="false" ht="21.75" hidden="false" customHeight="true" outlineLevel="0" collapsed="false">
      <c r="A13" s="2"/>
      <c r="B13" s="17" t="s">
        <v>8</v>
      </c>
      <c r="C13" s="17" t="s">
        <v>9</v>
      </c>
      <c r="D13" s="17" t="s">
        <v>10</v>
      </c>
      <c r="E13" s="17" t="s">
        <v>11</v>
      </c>
      <c r="F13" s="17" t="s">
        <v>12</v>
      </c>
      <c r="G13" s="17" t="s">
        <v>13</v>
      </c>
      <c r="H13" s="3" t="n">
        <f aca="false">IFERROR(COUNTIF(E14:E10000,"&gt;0")/H12,0)</f>
        <v>0</v>
      </c>
    </row>
    <row r="14" customFormat="false" ht="19.5" hidden="false" customHeight="true" outlineLevel="0" collapsed="false">
      <c r="A14" s="2"/>
      <c r="B14" s="18"/>
      <c r="C14" s="19" t="str">
        <f aca="true">IF(B14="","",DATE(YEAR(TODAY()),MONTH(TODAY()),B14))</f>
        <v/>
      </c>
      <c r="D14" s="20"/>
      <c r="E14" s="21" t="str">
        <f aca="false">IF(B14="","",H2+IFERROR(SUM($D$14:D14),0))</f>
        <v/>
      </c>
      <c r="F14" s="22" t="str">
        <f aca="false">IF(B14="","",H2+IFERROR(SUM($E$14:E14),0))</f>
        <v/>
      </c>
      <c r="G14" s="23"/>
      <c r="H14" s="3" t="str">
        <f aca="false">IF(H15&gt;=1,IF(H16&gt;=1,"✅ FUNDED","Step 2"),"Step 1")</f>
        <v>Step 1</v>
      </c>
    </row>
    <row r="15" customFormat="false" ht="19.5" hidden="false" customHeight="true" outlineLevel="0" collapsed="false">
      <c r="A15" s="2"/>
      <c r="B15" s="24"/>
      <c r="C15" s="25" t="str">
        <f aca="true">IF(B15="","",DATE(YEAR(TODAY()),MONTH(TODAY()),B15))</f>
        <v/>
      </c>
      <c r="D15" s="26"/>
      <c r="E15" s="27" t="str">
        <f aca="false">IF(B15="","",H2+IFERROR(SUM($D$14:D15),0))</f>
        <v/>
      </c>
      <c r="F15" s="28" t="str">
        <f aca="false">IF(B15="","",H2+IFERROR(SUM($E$14:E15),0))</f>
        <v/>
      </c>
      <c r="G15" s="29"/>
      <c r="H15" s="3" t="n">
        <f aca="false">IFERROR(MAX(H5,0)/(H2*0.08),0)</f>
        <v>0</v>
      </c>
    </row>
    <row r="16" customFormat="false" ht="19.5" hidden="false" customHeight="true" outlineLevel="0" collapsed="false">
      <c r="A16" s="2"/>
      <c r="B16" s="18"/>
      <c r="C16" s="19" t="str">
        <f aca="true">IF(B16="","",DATE(YEAR(TODAY()),MONTH(TODAY()),B16))</f>
        <v/>
      </c>
      <c r="D16" s="20"/>
      <c r="E16" s="21" t="str">
        <f aca="false">IF(B16="","",H2+IFERROR(SUM($D$14:D16),0))</f>
        <v/>
      </c>
      <c r="F16" s="22" t="str">
        <f aca="false">IF(B16="","",H2+IFERROR(SUM($E$14:E16),0))</f>
        <v/>
      </c>
      <c r="G16" s="23"/>
      <c r="H16" s="3" t="n">
        <f aca="false">IFERROR(IF(H15&gt;=1,MAX(H5-H2*0.08,0)/(H2*0.05),0),0)</f>
        <v>0</v>
      </c>
    </row>
    <row r="17" customFormat="false" ht="19.5" hidden="false" customHeight="true" outlineLevel="0" collapsed="false">
      <c r="A17" s="2"/>
      <c r="B17" s="24"/>
      <c r="C17" s="25" t="str">
        <f aca="true">IF(B17="","",DATE(YEAR(TODAY()),MONTH(TODAY()),B17))</f>
        <v/>
      </c>
      <c r="D17" s="26"/>
      <c r="E17" s="27" t="str">
        <f aca="false">IF(B17="","",H2+IFERROR(SUM($D$14:D17),0))</f>
        <v/>
      </c>
      <c r="F17" s="28" t="str">
        <f aca="false">IF(B17="","",H2+IFERROR(SUM($E$14:E17),0))</f>
        <v/>
      </c>
      <c r="G17" s="29"/>
      <c r="H17" s="3" t="n">
        <f aca="false">IFERROR(COUNTIF(D14:D10000,"&gt;0")/H12,0)</f>
        <v>0</v>
      </c>
    </row>
    <row r="18" customFormat="false" ht="19.5" hidden="false" customHeight="true" outlineLevel="0" collapsed="false">
      <c r="A18" s="2"/>
      <c r="B18" s="18"/>
      <c r="C18" s="19" t="str">
        <f aca="true">IF(B18="","",DATE(YEAR(TODAY()),MONTH(TODAY()),B18))</f>
        <v/>
      </c>
      <c r="D18" s="20"/>
      <c r="E18" s="21" t="str">
        <f aca="false">IF(B18="","",H2+IFERROR(SUM($D$14:D18),0))</f>
        <v/>
      </c>
      <c r="F18" s="22" t="str">
        <f aca="false">IF(B18="","",H2+IFERROR(SUM($E$14:E18),0))</f>
        <v/>
      </c>
      <c r="G18" s="23"/>
      <c r="H18" s="3"/>
    </row>
    <row r="19" customFormat="false" ht="19.5" hidden="false" customHeight="true" outlineLevel="0" collapsed="false">
      <c r="A19" s="2"/>
      <c r="B19" s="24"/>
      <c r="C19" s="25" t="str">
        <f aca="true">IF(B19="","",DATE(YEAR(TODAY()),MONTH(TODAY()),B19))</f>
        <v/>
      </c>
      <c r="D19" s="26"/>
      <c r="E19" s="27" t="str">
        <f aca="false">IF(B19="","",H2+IFERROR(SUM($D$14:D19),0))</f>
        <v/>
      </c>
      <c r="F19" s="28" t="str">
        <f aca="false">IF(B19="","",H2+IFERROR(SUM($E$14:E19),0))</f>
        <v/>
      </c>
      <c r="G19" s="29"/>
      <c r="H19" s="3"/>
    </row>
    <row r="20" customFormat="false" ht="19.5" hidden="false" customHeight="true" outlineLevel="0" collapsed="false">
      <c r="A20" s="2"/>
      <c r="B20" s="18"/>
      <c r="C20" s="19" t="str">
        <f aca="true">IF(B20="","",DATE(YEAR(TODAY()),MONTH(TODAY()),B20))</f>
        <v/>
      </c>
      <c r="D20" s="20"/>
      <c r="E20" s="21" t="str">
        <f aca="false">IF(B20="","",H2+IFERROR(SUM($D$14:D20),0))</f>
        <v/>
      </c>
      <c r="F20" s="22" t="str">
        <f aca="false">IF(B20="","",H2+IFERROR(SUM($E$14:E20),0))</f>
        <v/>
      </c>
      <c r="G20" s="23"/>
    </row>
    <row r="21" customFormat="false" ht="19.5" hidden="false" customHeight="true" outlineLevel="0" collapsed="false">
      <c r="A21" s="2"/>
      <c r="B21" s="24"/>
      <c r="C21" s="25" t="str">
        <f aca="true">IF(B21="","",DATE(YEAR(TODAY()),MONTH(TODAY()),B21))</f>
        <v/>
      </c>
      <c r="D21" s="26"/>
      <c r="E21" s="27" t="str">
        <f aca="false">IF(B21="","",H2+IFERROR(SUM($D$14:D21),0))</f>
        <v/>
      </c>
      <c r="F21" s="28" t="str">
        <f aca="false">IF(B21="","",H2+IFERROR(SUM($E$14:E21),0))</f>
        <v/>
      </c>
      <c r="G21" s="29"/>
    </row>
    <row r="22" customFormat="false" ht="19.5" hidden="false" customHeight="true" outlineLevel="0" collapsed="false">
      <c r="A22" s="2"/>
      <c r="B22" s="18"/>
      <c r="C22" s="19" t="str">
        <f aca="true">IF(B22="","",DATE(YEAR(TODAY()),MONTH(TODAY()),B22))</f>
        <v/>
      </c>
      <c r="D22" s="20"/>
      <c r="E22" s="21" t="str">
        <f aca="false">IF(B22="","",H2+IFERROR(SUM($D$14:D22),0))</f>
        <v/>
      </c>
      <c r="F22" s="22" t="str">
        <f aca="false">IF(B22="","",H2+IFERROR(SUM($E$14:E22),0))</f>
        <v/>
      </c>
      <c r="G22" s="23"/>
    </row>
    <row r="23" customFormat="false" ht="19.5" hidden="false" customHeight="true" outlineLevel="0" collapsed="false">
      <c r="A23" s="2"/>
      <c r="B23" s="24"/>
      <c r="C23" s="25" t="str">
        <f aca="true">IF(B23="","",DATE(YEAR(TODAY()),MONTH(TODAY()),B23))</f>
        <v/>
      </c>
      <c r="D23" s="26"/>
      <c r="E23" s="27" t="str">
        <f aca="false">IF(B23="","",H2+IFERROR(SUM($D$14:D23),0))</f>
        <v/>
      </c>
      <c r="F23" s="28" t="str">
        <f aca="false">IF(B23="","",H2+IFERROR(SUM($E$14:E23),0))</f>
        <v/>
      </c>
      <c r="G23" s="29"/>
    </row>
    <row r="24" customFormat="false" ht="19.5" hidden="false" customHeight="true" outlineLevel="0" collapsed="false">
      <c r="A24" s="2"/>
      <c r="B24" s="18"/>
      <c r="C24" s="19" t="str">
        <f aca="true">IF(B24="","",DATE(YEAR(TODAY()),MONTH(TODAY()),B24))</f>
        <v/>
      </c>
      <c r="D24" s="20"/>
      <c r="E24" s="21" t="str">
        <f aca="false">IF(B24="","",H2+IFERROR(SUM($D$14:D24),0))</f>
        <v/>
      </c>
      <c r="F24" s="22" t="str">
        <f aca="false">IF(B24="","",H2+IFERROR(SUM($E$14:E24),0))</f>
        <v/>
      </c>
      <c r="G24" s="23"/>
    </row>
    <row r="25" customFormat="false" ht="19.5" hidden="false" customHeight="true" outlineLevel="0" collapsed="false">
      <c r="A25" s="2"/>
      <c r="B25" s="24"/>
      <c r="C25" s="25" t="str">
        <f aca="true">IF(B25="","",DATE(YEAR(TODAY()),MONTH(TODAY()),B25))</f>
        <v/>
      </c>
      <c r="D25" s="26"/>
      <c r="E25" s="27" t="str">
        <f aca="false">IF(B25="","",H2+IFERROR(SUM($D$14:D25),0))</f>
        <v/>
      </c>
      <c r="F25" s="28" t="str">
        <f aca="false">IF(B25="","",H2+IFERROR(SUM($E$14:E25),0))</f>
        <v/>
      </c>
      <c r="G25" s="29"/>
    </row>
    <row r="26" customFormat="false" ht="19.5" hidden="false" customHeight="true" outlineLevel="0" collapsed="false">
      <c r="A26" s="2"/>
      <c r="B26" s="18"/>
      <c r="C26" s="19" t="str">
        <f aca="true">IF(B26="","",DATE(YEAR(TODAY()),MONTH(TODAY()),B26))</f>
        <v/>
      </c>
      <c r="D26" s="20"/>
      <c r="E26" s="21" t="str">
        <f aca="false">IF(B26="","",H2+IFERROR(SUM($D$14:D26),0))</f>
        <v/>
      </c>
      <c r="F26" s="22" t="str">
        <f aca="false">IF(B26="","",H2+IFERROR(SUM($E$14:E26),0))</f>
        <v/>
      </c>
      <c r="G26" s="23"/>
    </row>
    <row r="27" customFormat="false" ht="19.5" hidden="false" customHeight="true" outlineLevel="0" collapsed="false">
      <c r="A27" s="2"/>
      <c r="B27" s="24"/>
      <c r="C27" s="25" t="str">
        <f aca="true">IF(B27="","",DATE(YEAR(TODAY()),MONTH(TODAY()),B27))</f>
        <v/>
      </c>
      <c r="D27" s="26"/>
      <c r="E27" s="27" t="str">
        <f aca="false">IF(B27="","",H2+IFERROR(SUM($D$14:D27),0))</f>
        <v/>
      </c>
      <c r="F27" s="28" t="str">
        <f aca="false">IF(B27="","",H2+IFERROR(SUM($E$14:E27),0))</f>
        <v/>
      </c>
      <c r="G27" s="29"/>
    </row>
    <row r="28" customFormat="false" ht="19.5" hidden="false" customHeight="true" outlineLevel="0" collapsed="false">
      <c r="A28" s="2"/>
      <c r="B28" s="18"/>
      <c r="C28" s="19" t="str">
        <f aca="true">IF(B28="","",DATE(YEAR(TODAY()),MONTH(TODAY()),B28))</f>
        <v/>
      </c>
      <c r="D28" s="20"/>
      <c r="E28" s="21" t="str">
        <f aca="false">IF(B28="","",H2+IFERROR(SUM($D$14:D28),0))</f>
        <v/>
      </c>
      <c r="F28" s="22" t="str">
        <f aca="false">IF(B28="","",H2+IFERROR(SUM($E$14:E28),0))</f>
        <v/>
      </c>
      <c r="G28" s="23"/>
    </row>
    <row r="29" customFormat="false" ht="19.5" hidden="false" customHeight="true" outlineLevel="0" collapsed="false">
      <c r="A29" s="2"/>
      <c r="B29" s="24"/>
      <c r="C29" s="25" t="str">
        <f aca="true">IF(B29="","",DATE(YEAR(TODAY()),MONTH(TODAY()),B29))</f>
        <v/>
      </c>
      <c r="D29" s="26"/>
      <c r="E29" s="27" t="str">
        <f aca="false">IF(B29="","",H2+IFERROR(SUM($D$14:D29),0))</f>
        <v/>
      </c>
      <c r="F29" s="28" t="str">
        <f aca="false">IF(B29="","",H2+IFERROR(SUM($E$14:E29),0))</f>
        <v/>
      </c>
      <c r="G29" s="29"/>
    </row>
    <row r="30" customFormat="false" ht="19.5" hidden="false" customHeight="true" outlineLevel="0" collapsed="false">
      <c r="A30" s="2"/>
      <c r="B30" s="18"/>
      <c r="C30" s="19" t="str">
        <f aca="true">IF(B30="","",DATE(YEAR(TODAY()),MONTH(TODAY()),B30))</f>
        <v/>
      </c>
      <c r="D30" s="20"/>
      <c r="E30" s="21" t="str">
        <f aca="false">IF(B30="","",H2+IFERROR(SUM($D$14:D30),0))</f>
        <v/>
      </c>
      <c r="F30" s="22" t="str">
        <f aca="false">IF(B30="","",H2+IFERROR(SUM($E$14:E30),0))</f>
        <v/>
      </c>
      <c r="G30" s="23"/>
    </row>
    <row r="31" customFormat="false" ht="19.5" hidden="false" customHeight="true" outlineLevel="0" collapsed="false">
      <c r="A31" s="2"/>
      <c r="B31" s="24"/>
      <c r="C31" s="25" t="str">
        <f aca="true">IF(B31="","",DATE(YEAR(TODAY()),MONTH(TODAY()),B31))</f>
        <v/>
      </c>
      <c r="D31" s="26"/>
      <c r="E31" s="27" t="str">
        <f aca="false">IF(B31="","",H2+IFERROR(SUM($D$14:D31),0))</f>
        <v/>
      </c>
      <c r="F31" s="28" t="str">
        <f aca="false">IF(B31="","",H2+IFERROR(SUM($E$14:E31),0))</f>
        <v/>
      </c>
      <c r="G31" s="29"/>
    </row>
    <row r="32" customFormat="false" ht="19.5" hidden="false" customHeight="true" outlineLevel="0" collapsed="false">
      <c r="A32" s="2"/>
      <c r="B32" s="18"/>
      <c r="C32" s="19" t="str">
        <f aca="true">IF(B32="","",DATE(YEAR(TODAY()),MONTH(TODAY()),B32))</f>
        <v/>
      </c>
      <c r="D32" s="20"/>
      <c r="E32" s="21" t="str">
        <f aca="false">IF(B32="","",H2+IFERROR(SUM($D$14:D32),0))</f>
        <v/>
      </c>
      <c r="F32" s="22" t="str">
        <f aca="false">IF(B32="","",H2+IFERROR(SUM($E$14:E32),0))</f>
        <v/>
      </c>
      <c r="G32" s="23"/>
    </row>
    <row r="33" customFormat="false" ht="19.5" hidden="false" customHeight="true" outlineLevel="0" collapsed="false">
      <c r="A33" s="2"/>
      <c r="B33" s="24"/>
      <c r="C33" s="25" t="str">
        <f aca="true">IF(B33="","",DATE(YEAR(TODAY()),MONTH(TODAY()),B33))</f>
        <v/>
      </c>
      <c r="D33" s="26"/>
      <c r="E33" s="27" t="str">
        <f aca="false">IF(B33="","",H2+IFERROR(SUM($D$14:D33),0))</f>
        <v/>
      </c>
      <c r="F33" s="28" t="str">
        <f aca="false">IF(B33="","",H2+IFERROR(SUM($E$14:E33),0))</f>
        <v/>
      </c>
      <c r="G33" s="29"/>
    </row>
    <row r="34" customFormat="false" ht="19.5" hidden="false" customHeight="true" outlineLevel="0" collapsed="false">
      <c r="A34" s="2"/>
      <c r="B34" s="18"/>
      <c r="C34" s="19" t="str">
        <f aca="true">IF(B34="","",DATE(YEAR(TODAY()),MONTH(TODAY()),B34))</f>
        <v/>
      </c>
      <c r="D34" s="20"/>
      <c r="E34" s="21" t="str">
        <f aca="false">IF(B34="","",H2+IFERROR(SUM($D$14:D34),0))</f>
        <v/>
      </c>
      <c r="F34" s="22" t="str">
        <f aca="false">IF(B34="","",H2+IFERROR(SUM($E$14:E34),0))</f>
        <v/>
      </c>
      <c r="G34" s="23"/>
    </row>
    <row r="35" customFormat="false" ht="19.5" hidden="false" customHeight="true" outlineLevel="0" collapsed="false">
      <c r="A35" s="2"/>
      <c r="B35" s="24"/>
      <c r="C35" s="25" t="str">
        <f aca="true">IF(B35="","",DATE(YEAR(TODAY()),MONTH(TODAY()),B35))</f>
        <v/>
      </c>
      <c r="D35" s="26"/>
      <c r="E35" s="27" t="str">
        <f aca="false">IF(B35="","",H2+IFERROR(SUM($D$14:D35),0))</f>
        <v/>
      </c>
      <c r="F35" s="28" t="str">
        <f aca="false">IF(B35="","",H2+IFERROR(SUM($E$14:E35),0))</f>
        <v/>
      </c>
      <c r="G35" s="29"/>
    </row>
    <row r="36" customFormat="false" ht="19.5" hidden="false" customHeight="true" outlineLevel="0" collapsed="false">
      <c r="A36" s="2"/>
      <c r="B36" s="18"/>
      <c r="C36" s="19" t="str">
        <f aca="true">IF(B36="","",DATE(YEAR(TODAY()),MONTH(TODAY()),B36))</f>
        <v/>
      </c>
      <c r="D36" s="20"/>
      <c r="E36" s="21" t="str">
        <f aca="false">IF(B36="","",H2+IFERROR(SUM($D$14:D36),0))</f>
        <v/>
      </c>
      <c r="F36" s="22" t="str">
        <f aca="false">IF(B36="","",H2+IFERROR(SUM($E$14:E36),0))</f>
        <v/>
      </c>
      <c r="G36" s="23"/>
    </row>
    <row r="37" customFormat="false" ht="19.5" hidden="false" customHeight="true" outlineLevel="0" collapsed="false">
      <c r="A37" s="2"/>
      <c r="B37" s="24"/>
      <c r="C37" s="25" t="str">
        <f aca="true">IF(B37="","",DATE(YEAR(TODAY()),MONTH(TODAY()),B37))</f>
        <v/>
      </c>
      <c r="D37" s="26"/>
      <c r="E37" s="27" t="str">
        <f aca="false">IF(B37="","",H2+IFERROR(SUM($D$14:D37),0))</f>
        <v/>
      </c>
      <c r="F37" s="28" t="str">
        <f aca="false">IF(B37="","",H2+IFERROR(SUM($E$14:E37),0))</f>
        <v/>
      </c>
      <c r="G37" s="29"/>
    </row>
    <row r="38" customFormat="false" ht="19.5" hidden="false" customHeight="true" outlineLevel="0" collapsed="false">
      <c r="A38" s="2"/>
      <c r="B38" s="18"/>
      <c r="C38" s="19" t="str">
        <f aca="true">IF(B38="","",DATE(YEAR(TODAY()),MONTH(TODAY()),B38))</f>
        <v/>
      </c>
      <c r="D38" s="20"/>
      <c r="E38" s="21" t="str">
        <f aca="false">IF(B38="","",H2+IFERROR(SUM($D$14:D38),0))</f>
        <v/>
      </c>
      <c r="F38" s="22" t="str">
        <f aca="false">IF(B38="","",H2+IFERROR(SUM($E$14:E38),0))</f>
        <v/>
      </c>
      <c r="G38" s="23"/>
    </row>
    <row r="39" customFormat="false" ht="19.5" hidden="false" customHeight="true" outlineLevel="0" collapsed="false">
      <c r="A39" s="2"/>
      <c r="B39" s="24"/>
      <c r="C39" s="25" t="str">
        <f aca="true">IF(B39="","",DATE(YEAR(TODAY()),MONTH(TODAY()),B39))</f>
        <v/>
      </c>
      <c r="D39" s="26"/>
      <c r="E39" s="27" t="str">
        <f aca="false">IF(B39="","",H2+IFERROR(SUM($D$14:D39),0))</f>
        <v/>
      </c>
      <c r="F39" s="28" t="str">
        <f aca="false">IF(B39="","",H2+IFERROR(SUM($E$14:E39),0))</f>
        <v/>
      </c>
      <c r="G39" s="29"/>
    </row>
    <row r="40" customFormat="false" ht="19.5" hidden="false" customHeight="true" outlineLevel="0" collapsed="false">
      <c r="A40" s="2"/>
      <c r="B40" s="18"/>
      <c r="C40" s="19" t="str">
        <f aca="true">IF(B40="","",DATE(YEAR(TODAY()),MONTH(TODAY()),B40))</f>
        <v/>
      </c>
      <c r="D40" s="20"/>
      <c r="E40" s="21" t="str">
        <f aca="false">IF(B40="","",H2+IFERROR(SUM($D$14:D40),0))</f>
        <v/>
      </c>
      <c r="F40" s="22" t="str">
        <f aca="false">IF(B40="","",H2+IFERROR(SUM($E$14:E40),0))</f>
        <v/>
      </c>
      <c r="G40" s="23"/>
    </row>
    <row r="41" customFormat="false" ht="19.5" hidden="false" customHeight="true" outlineLevel="0" collapsed="false">
      <c r="A41" s="2"/>
      <c r="B41" s="24"/>
      <c r="C41" s="25" t="str">
        <f aca="true">IF(B41="","",DATE(YEAR(TODAY()),MONTH(TODAY()),B41))</f>
        <v/>
      </c>
      <c r="D41" s="26"/>
      <c r="E41" s="27" t="str">
        <f aca="false">IF(B41="","",H2+IFERROR(SUM($D$14:D41),0))</f>
        <v/>
      </c>
      <c r="F41" s="28" t="str">
        <f aca="false">IF(B41="","",H2+IFERROR(SUM($E$14:E41),0))</f>
        <v/>
      </c>
      <c r="G41" s="29"/>
    </row>
    <row r="42" customFormat="false" ht="19.5" hidden="false" customHeight="true" outlineLevel="0" collapsed="false">
      <c r="A42" s="2"/>
      <c r="B42" s="18"/>
      <c r="C42" s="19" t="str">
        <f aca="true">IF(B42="","",DATE(YEAR(TODAY()),MONTH(TODAY()),B42))</f>
        <v/>
      </c>
      <c r="D42" s="20"/>
      <c r="E42" s="21" t="str">
        <f aca="false">IF(B42="","",H2+IFERROR(SUM($D$14:D42),0))</f>
        <v/>
      </c>
      <c r="F42" s="22" t="str">
        <f aca="false">IF(B42="","",H2+IFERROR(SUM($E$14:E42),0))</f>
        <v/>
      </c>
      <c r="G42" s="23"/>
    </row>
    <row r="43" customFormat="false" ht="19.5" hidden="false" customHeight="true" outlineLevel="0" collapsed="false">
      <c r="A43" s="2"/>
      <c r="B43" s="24"/>
      <c r="C43" s="25" t="str">
        <f aca="true">IF(B43="","",DATE(YEAR(TODAY()),MONTH(TODAY()),B43))</f>
        <v/>
      </c>
      <c r="D43" s="26"/>
      <c r="E43" s="27" t="str">
        <f aca="false">IF(B43="","",H2+IFERROR(SUM($D$14:D43),0))</f>
        <v/>
      </c>
      <c r="F43" s="28" t="str">
        <f aca="false">IF(B43="","",H2+IFERROR(SUM($E$14:E43),0))</f>
        <v/>
      </c>
      <c r="G43" s="29"/>
    </row>
    <row r="44" customFormat="false" ht="19.5" hidden="false" customHeight="true" outlineLevel="0" collapsed="false">
      <c r="A44" s="2"/>
      <c r="B44" s="18"/>
      <c r="C44" s="19" t="str">
        <f aca="true">IF(B44="","",DATE(YEAR(TODAY()),MONTH(TODAY()),B44))</f>
        <v/>
      </c>
      <c r="D44" s="20"/>
      <c r="E44" s="21" t="str">
        <f aca="false">IF(B44="","",H2+IFERROR(SUM($D$14:D44),0))</f>
        <v/>
      </c>
      <c r="F44" s="22" t="str">
        <f aca="false">IF(B44="","",H2+IFERROR(SUM($E$14:E44),0))</f>
        <v/>
      </c>
      <c r="G44" s="23"/>
    </row>
    <row r="45" customFormat="false" ht="19.5" hidden="false" customHeight="true" outlineLevel="0" collapsed="false">
      <c r="A45" s="2"/>
      <c r="B45" s="24"/>
      <c r="C45" s="25" t="str">
        <f aca="true">IF(B45="","",DATE(YEAR(TODAY()),MONTH(TODAY()),B45))</f>
        <v/>
      </c>
      <c r="D45" s="26"/>
      <c r="E45" s="27" t="str">
        <f aca="false">IF(B45="","",H2+IFERROR(SUM($D$14:D45),0))</f>
        <v/>
      </c>
      <c r="F45" s="28" t="str">
        <f aca="false">IF(B45="","",H2+IFERROR(SUM($E$14:E45),0))</f>
        <v/>
      </c>
      <c r="G45" s="29"/>
    </row>
    <row r="46" customFormat="false" ht="19.5" hidden="false" customHeight="true" outlineLevel="0" collapsed="false">
      <c r="A46" s="2"/>
      <c r="B46" s="18"/>
      <c r="C46" s="19" t="str">
        <f aca="true">IF(B46="","",DATE(YEAR(TODAY()),MONTH(TODAY()),B46))</f>
        <v/>
      </c>
      <c r="D46" s="20"/>
      <c r="E46" s="21" t="str">
        <f aca="false">IF(B46="","",H2+IFERROR(SUM($D$14:D46),0))</f>
        <v/>
      </c>
      <c r="F46" s="22" t="str">
        <f aca="false">IF(B46="","",H2+IFERROR(SUM($E$14:E46),0))</f>
        <v/>
      </c>
      <c r="G46" s="23"/>
    </row>
    <row r="47" customFormat="false" ht="19.5" hidden="false" customHeight="true" outlineLevel="0" collapsed="false">
      <c r="A47" s="2"/>
      <c r="B47" s="24"/>
      <c r="C47" s="25" t="str">
        <f aca="true">IF(B47="","",DATE(YEAR(TODAY()),MONTH(TODAY()),B47))</f>
        <v/>
      </c>
      <c r="D47" s="26"/>
      <c r="E47" s="27" t="str">
        <f aca="false">IF(B47="","",H2+IFERROR(SUM($D$14:D47),0))</f>
        <v/>
      </c>
      <c r="F47" s="28" t="str">
        <f aca="false">IF(B47="","",H2+IFERROR(SUM($E$14:E47),0))</f>
        <v/>
      </c>
      <c r="G47" s="29"/>
    </row>
    <row r="48" customFormat="false" ht="19.5" hidden="false" customHeight="true" outlineLevel="0" collapsed="false">
      <c r="A48" s="2"/>
      <c r="B48" s="18"/>
      <c r="C48" s="19" t="str">
        <f aca="true">IF(B48="","",DATE(YEAR(TODAY()),MONTH(TODAY()),B48))</f>
        <v/>
      </c>
      <c r="D48" s="20"/>
      <c r="E48" s="21" t="str">
        <f aca="false">IF(B48="","",H2+IFERROR(SUM($D$14:D48),0))</f>
        <v/>
      </c>
      <c r="F48" s="22" t="str">
        <f aca="false">IF(B48="","",H2+IFERROR(SUM($E$14:E48),0))</f>
        <v/>
      </c>
      <c r="G48" s="23"/>
    </row>
    <row r="49" customFormat="false" ht="19.5" hidden="false" customHeight="true" outlineLevel="0" collapsed="false">
      <c r="A49" s="2"/>
      <c r="B49" s="24"/>
      <c r="C49" s="25" t="str">
        <f aca="true">IF(B49="","",DATE(YEAR(TODAY()),MONTH(TODAY()),B49))</f>
        <v/>
      </c>
      <c r="D49" s="26"/>
      <c r="E49" s="27" t="str">
        <f aca="false">IF(B49="","",H2+IFERROR(SUM($D$14:D49),0))</f>
        <v/>
      </c>
      <c r="F49" s="28" t="str">
        <f aca="false">IF(B49="","",H2+IFERROR(SUM($E$14:E49),0))</f>
        <v/>
      </c>
      <c r="G49" s="29"/>
    </row>
    <row r="50" customFormat="false" ht="19.5" hidden="false" customHeight="true" outlineLevel="0" collapsed="false">
      <c r="A50" s="2"/>
      <c r="B50" s="18"/>
      <c r="C50" s="19" t="str">
        <f aca="true">IF(B50="","",DATE(YEAR(TODAY()),MONTH(TODAY()),B50))</f>
        <v/>
      </c>
      <c r="D50" s="20"/>
      <c r="E50" s="21" t="str">
        <f aca="false">IF(B50="","",H2+IFERROR(SUM($D$14:D50),0))</f>
        <v/>
      </c>
      <c r="F50" s="22" t="str">
        <f aca="false">IF(B50="","",H2+IFERROR(SUM($E$14:E50),0))</f>
        <v/>
      </c>
      <c r="G50" s="23"/>
    </row>
    <row r="51" customFormat="false" ht="19.5" hidden="false" customHeight="true" outlineLevel="0" collapsed="false">
      <c r="A51" s="2"/>
      <c r="B51" s="24"/>
      <c r="C51" s="25" t="str">
        <f aca="true">IF(B51="","",DATE(YEAR(TODAY()),MONTH(TODAY()),B51))</f>
        <v/>
      </c>
      <c r="D51" s="26"/>
      <c r="E51" s="27" t="str">
        <f aca="false">IF(B51="","",H2+IFERROR(SUM($D$14:D51),0))</f>
        <v/>
      </c>
      <c r="F51" s="28" t="str">
        <f aca="false">IF(B51="","",H2+IFERROR(SUM($E$14:E51),0))</f>
        <v/>
      </c>
      <c r="G51" s="29"/>
    </row>
    <row r="52" customFormat="false" ht="19.5" hidden="false" customHeight="true" outlineLevel="0" collapsed="false">
      <c r="A52" s="2"/>
      <c r="B52" s="18"/>
      <c r="C52" s="19" t="str">
        <f aca="true">IF(B52="","",DATE(YEAR(TODAY()),MONTH(TODAY()),B52))</f>
        <v/>
      </c>
      <c r="D52" s="20"/>
      <c r="E52" s="21" t="str">
        <f aca="false">IF(B52="","",H2+IFERROR(SUM($D$14:D52),0))</f>
        <v/>
      </c>
      <c r="F52" s="22" t="str">
        <f aca="false">IF(B52="","",H2+IFERROR(SUM($E$14:E52),0))</f>
        <v/>
      </c>
      <c r="G52" s="23"/>
    </row>
    <row r="53" customFormat="false" ht="19.5" hidden="false" customHeight="true" outlineLevel="0" collapsed="false">
      <c r="A53" s="2"/>
      <c r="B53" s="24"/>
      <c r="C53" s="25" t="str">
        <f aca="true">IF(B53="","",DATE(YEAR(TODAY()),MONTH(TODAY()),B53))</f>
        <v/>
      </c>
      <c r="D53" s="26"/>
      <c r="E53" s="27" t="str">
        <f aca="false">IF(B53="","",H2+IFERROR(SUM($D$14:D53),0))</f>
        <v/>
      </c>
      <c r="F53" s="28" t="str">
        <f aca="false">IF(B53="","",H2+IFERROR(SUM($E$14:E53),0))</f>
        <v/>
      </c>
      <c r="G53" s="29"/>
    </row>
    <row r="54" customFormat="false" ht="19.5" hidden="false" customHeight="true" outlineLevel="0" collapsed="false">
      <c r="A54" s="2"/>
      <c r="B54" s="18"/>
      <c r="C54" s="19" t="str">
        <f aca="true">IF(B54="","",DATE(YEAR(TODAY()),MONTH(TODAY()),B54))</f>
        <v/>
      </c>
      <c r="D54" s="20"/>
      <c r="E54" s="21" t="str">
        <f aca="false">IF(B54="","",H2+IFERROR(SUM($D$14:D54),0))</f>
        <v/>
      </c>
      <c r="F54" s="22" t="str">
        <f aca="false">IF(B54="","",H2+IFERROR(SUM($E$14:E54),0))</f>
        <v/>
      </c>
      <c r="G54" s="23"/>
    </row>
    <row r="55" customFormat="false" ht="19.5" hidden="false" customHeight="true" outlineLevel="0" collapsed="false">
      <c r="A55" s="2"/>
      <c r="B55" s="24"/>
      <c r="C55" s="25" t="str">
        <f aca="true">IF(B55="","",DATE(YEAR(TODAY()),MONTH(TODAY()),B55))</f>
        <v/>
      </c>
      <c r="D55" s="26"/>
      <c r="E55" s="27" t="str">
        <f aca="false">IF(B55="","",H2+IFERROR(SUM($D$14:D55),0))</f>
        <v/>
      </c>
      <c r="F55" s="28" t="str">
        <f aca="false">IF(B55="","",H2+IFERROR(SUM($E$14:E55),0))</f>
        <v/>
      </c>
      <c r="G55" s="29"/>
    </row>
    <row r="56" customFormat="false" ht="19.5" hidden="false" customHeight="true" outlineLevel="0" collapsed="false">
      <c r="A56" s="2"/>
      <c r="B56" s="18"/>
      <c r="C56" s="19" t="str">
        <f aca="true">IF(B56="","",DATE(YEAR(TODAY()),MONTH(TODAY()),B56))</f>
        <v/>
      </c>
      <c r="D56" s="20"/>
      <c r="E56" s="21" t="str">
        <f aca="false">IF(B56="","",H2+IFERROR(SUM($D$14:D56),0))</f>
        <v/>
      </c>
      <c r="F56" s="22" t="str">
        <f aca="false">IF(B56="","",H2+IFERROR(SUM($E$14:E56),0))</f>
        <v/>
      </c>
      <c r="G56" s="23"/>
    </row>
    <row r="57" customFormat="false" ht="19.5" hidden="false" customHeight="true" outlineLevel="0" collapsed="false">
      <c r="A57" s="2"/>
      <c r="B57" s="24"/>
      <c r="C57" s="25" t="str">
        <f aca="true">IF(B57="","",DATE(YEAR(TODAY()),MONTH(TODAY()),B57))</f>
        <v/>
      </c>
      <c r="D57" s="26"/>
      <c r="E57" s="27" t="str">
        <f aca="false">IF(B57="","",H2+IFERROR(SUM($D$14:D57),0))</f>
        <v/>
      </c>
      <c r="F57" s="28" t="str">
        <f aca="false">IF(B57="","",H2+IFERROR(SUM($E$14:E57),0))</f>
        <v/>
      </c>
      <c r="G57" s="29"/>
    </row>
    <row r="58" customFormat="false" ht="19.5" hidden="false" customHeight="true" outlineLevel="0" collapsed="false">
      <c r="A58" s="2"/>
      <c r="B58" s="18"/>
      <c r="C58" s="19" t="str">
        <f aca="true">IF(B58="","",DATE(YEAR(TODAY()),MONTH(TODAY()),B58))</f>
        <v/>
      </c>
      <c r="D58" s="20"/>
      <c r="E58" s="21" t="str">
        <f aca="false">IF(B58="","",H2+IFERROR(SUM($D$14:D58),0))</f>
        <v/>
      </c>
      <c r="F58" s="22" t="str">
        <f aca="false">IF(B58="","",H2+IFERROR(SUM($E$14:E58),0))</f>
        <v/>
      </c>
      <c r="G58" s="23"/>
    </row>
    <row r="59" customFormat="false" ht="19.5" hidden="false" customHeight="true" outlineLevel="0" collapsed="false">
      <c r="A59" s="2"/>
      <c r="B59" s="24"/>
      <c r="C59" s="25" t="str">
        <f aca="true">IF(B59="","",DATE(YEAR(TODAY()),MONTH(TODAY()),B59))</f>
        <v/>
      </c>
      <c r="D59" s="26"/>
      <c r="E59" s="27" t="str">
        <f aca="false">IF(B59="","",H2+IFERROR(SUM($D$14:D59),0))</f>
        <v/>
      </c>
      <c r="F59" s="28" t="str">
        <f aca="false">IF(B59="","",H2+IFERROR(SUM($E$14:E59),0))</f>
        <v/>
      </c>
      <c r="G59" s="29"/>
    </row>
    <row r="60" customFormat="false" ht="19.5" hidden="false" customHeight="true" outlineLevel="0" collapsed="false">
      <c r="A60" s="2"/>
      <c r="B60" s="18"/>
      <c r="C60" s="19" t="str">
        <f aca="true">IF(B60="","",DATE(YEAR(TODAY()),MONTH(TODAY()),B60))</f>
        <v/>
      </c>
      <c r="D60" s="20"/>
      <c r="E60" s="21" t="str">
        <f aca="false">IF(B60="","",H2+IFERROR(SUM($D$14:D60),0))</f>
        <v/>
      </c>
      <c r="F60" s="22" t="str">
        <f aca="false">IF(B60="","",H2+IFERROR(SUM($E$14:E60),0))</f>
        <v/>
      </c>
      <c r="G60" s="23"/>
    </row>
    <row r="61" customFormat="false" ht="19.5" hidden="false" customHeight="true" outlineLevel="0" collapsed="false">
      <c r="A61" s="2"/>
      <c r="B61" s="24"/>
      <c r="C61" s="25" t="str">
        <f aca="true">IF(B61="","",DATE(YEAR(TODAY()),MONTH(TODAY()),B61))</f>
        <v/>
      </c>
      <c r="D61" s="26"/>
      <c r="E61" s="27" t="str">
        <f aca="false">IF(B61="","",H2+IFERROR(SUM($D$14:D61),0))</f>
        <v/>
      </c>
      <c r="F61" s="28" t="str">
        <f aca="false">IF(B61="","",H2+IFERROR(SUM($E$14:E61),0))</f>
        <v/>
      </c>
      <c r="G61" s="29"/>
    </row>
    <row r="62" customFormat="false" ht="19.5" hidden="false" customHeight="true" outlineLevel="0" collapsed="false">
      <c r="A62" s="2"/>
      <c r="B62" s="18"/>
      <c r="C62" s="19" t="str">
        <f aca="true">IF(B62="","",DATE(YEAR(TODAY()),MONTH(TODAY()),B62))</f>
        <v/>
      </c>
      <c r="D62" s="20"/>
      <c r="E62" s="21" t="str">
        <f aca="false">IF(B62="","",H2+IFERROR(SUM($D$14:D62),0))</f>
        <v/>
      </c>
      <c r="F62" s="22" t="str">
        <f aca="false">IF(B62="","",H2+IFERROR(SUM($E$14:E62),0))</f>
        <v/>
      </c>
      <c r="G62" s="23"/>
    </row>
    <row r="63" customFormat="false" ht="19.5" hidden="false" customHeight="true" outlineLevel="0" collapsed="false">
      <c r="A63" s="2"/>
      <c r="B63" s="24"/>
      <c r="C63" s="25" t="str">
        <f aca="true">IF(B63="","",DATE(YEAR(TODAY()),MONTH(TODAY()),B63))</f>
        <v/>
      </c>
      <c r="D63" s="26"/>
      <c r="E63" s="27" t="str">
        <f aca="false">IF(B63="","",H2+IFERROR(SUM($D$14:D63),0))</f>
        <v/>
      </c>
      <c r="F63" s="28" t="str">
        <f aca="false">IF(B63="","",H2+IFERROR(SUM($E$14:E63),0))</f>
        <v/>
      </c>
      <c r="G63" s="29"/>
    </row>
    <row r="64" customFormat="false" ht="19.5" hidden="false" customHeight="true" outlineLevel="0" collapsed="false">
      <c r="A64" s="2"/>
      <c r="B64" s="18"/>
      <c r="C64" s="19" t="str">
        <f aca="true">IF(B64="","",DATE(YEAR(TODAY()),MONTH(TODAY()),B64))</f>
        <v/>
      </c>
      <c r="D64" s="20"/>
      <c r="E64" s="21" t="str">
        <f aca="false">IF(B64="","",H2+IFERROR(SUM($D$14:D64),0))</f>
        <v/>
      </c>
      <c r="F64" s="22" t="str">
        <f aca="false">IF(B64="","",H2+IFERROR(SUM($E$14:E64),0))</f>
        <v/>
      </c>
      <c r="G64" s="23"/>
    </row>
    <row r="65" customFormat="false" ht="19.5" hidden="false" customHeight="true" outlineLevel="0" collapsed="false">
      <c r="A65" s="2"/>
      <c r="B65" s="24"/>
      <c r="C65" s="25" t="str">
        <f aca="true">IF(B65="","",DATE(YEAR(TODAY()),MONTH(TODAY()),B65))</f>
        <v/>
      </c>
      <c r="D65" s="26"/>
      <c r="E65" s="27" t="str">
        <f aca="false">IF(B65="","",H2+IFERROR(SUM($D$14:D65),0))</f>
        <v/>
      </c>
      <c r="F65" s="28" t="str">
        <f aca="false">IF(B65="","",H2+IFERROR(SUM($E$14:E65),0))</f>
        <v/>
      </c>
      <c r="G65" s="29"/>
    </row>
    <row r="66" customFormat="false" ht="19.5" hidden="false" customHeight="true" outlineLevel="0" collapsed="false">
      <c r="A66" s="2"/>
      <c r="B66" s="18"/>
      <c r="C66" s="19" t="str">
        <f aca="true">IF(B66="","",DATE(YEAR(TODAY()),MONTH(TODAY()),B66))</f>
        <v/>
      </c>
      <c r="D66" s="20"/>
      <c r="E66" s="21" t="str">
        <f aca="false">IF(B66="","",H2+IFERROR(SUM($D$14:D66),0))</f>
        <v/>
      </c>
      <c r="F66" s="22" t="str">
        <f aca="false">IF(B66="","",H2+IFERROR(SUM($E$14:E66),0))</f>
        <v/>
      </c>
      <c r="G66" s="23"/>
    </row>
    <row r="67" customFormat="false" ht="19.5" hidden="false" customHeight="true" outlineLevel="0" collapsed="false">
      <c r="A67" s="2"/>
      <c r="B67" s="24"/>
      <c r="C67" s="25" t="str">
        <f aca="true">IF(B67="","",DATE(YEAR(TODAY()),MONTH(TODAY()),B67))</f>
        <v/>
      </c>
      <c r="D67" s="26"/>
      <c r="E67" s="27" t="str">
        <f aca="false">IF(B67="","",H2+IFERROR(SUM($D$14:D67),0))</f>
        <v/>
      </c>
      <c r="F67" s="28" t="str">
        <f aca="false">IF(B67="","",H2+IFERROR(SUM($E$14:E67),0))</f>
        <v/>
      </c>
      <c r="G67" s="29"/>
    </row>
    <row r="68" customFormat="false" ht="19.5" hidden="false" customHeight="true" outlineLevel="0" collapsed="false">
      <c r="A68" s="2"/>
      <c r="B68" s="18"/>
      <c r="C68" s="19" t="str">
        <f aca="true">IF(B68="","",DATE(YEAR(TODAY()),MONTH(TODAY()),B68))</f>
        <v/>
      </c>
      <c r="D68" s="20"/>
      <c r="E68" s="21" t="str">
        <f aca="false">IF(B68="","",H2+IFERROR(SUM($D$14:D68),0))</f>
        <v/>
      </c>
      <c r="F68" s="22" t="str">
        <f aca="false">IF(B68="","",H2+IFERROR(SUM($E$14:E68),0))</f>
        <v/>
      </c>
      <c r="G68" s="23"/>
    </row>
    <row r="69" customFormat="false" ht="19.5" hidden="false" customHeight="true" outlineLevel="0" collapsed="false">
      <c r="A69" s="2"/>
      <c r="B69" s="24"/>
      <c r="C69" s="25" t="str">
        <f aca="true">IF(B69="","",DATE(YEAR(TODAY()),MONTH(TODAY()),B69))</f>
        <v/>
      </c>
      <c r="D69" s="26"/>
      <c r="E69" s="27" t="str">
        <f aca="false">IF(B69="","",H2+IFERROR(SUM($D$14:D69),0))</f>
        <v/>
      </c>
      <c r="F69" s="28" t="str">
        <f aca="false">IF(B69="","",H2+IFERROR(SUM($E$14:E69),0))</f>
        <v/>
      </c>
      <c r="G69" s="29"/>
    </row>
    <row r="70" customFormat="false" ht="19.5" hidden="false" customHeight="true" outlineLevel="0" collapsed="false">
      <c r="A70" s="2"/>
      <c r="B70" s="18"/>
      <c r="C70" s="19" t="str">
        <f aca="true">IF(B70="","",DATE(YEAR(TODAY()),MONTH(TODAY()),B70))</f>
        <v/>
      </c>
      <c r="D70" s="20"/>
      <c r="E70" s="21" t="str">
        <f aca="false">IF(B70="","",H2+IFERROR(SUM($D$14:D70),0))</f>
        <v/>
      </c>
      <c r="F70" s="22" t="str">
        <f aca="false">IF(B70="","",H2+IFERROR(SUM($E$14:E70),0))</f>
        <v/>
      </c>
      <c r="G70" s="23"/>
    </row>
    <row r="71" customFormat="false" ht="19.5" hidden="false" customHeight="true" outlineLevel="0" collapsed="false">
      <c r="A71" s="2"/>
      <c r="B71" s="24"/>
      <c r="C71" s="25" t="str">
        <f aca="true">IF(B71="","",DATE(YEAR(TODAY()),MONTH(TODAY()),B71))</f>
        <v/>
      </c>
      <c r="D71" s="26"/>
      <c r="E71" s="27" t="str">
        <f aca="false">IF(B71="","",H2+IFERROR(SUM($D$14:D71),0))</f>
        <v/>
      </c>
      <c r="F71" s="28" t="str">
        <f aca="false">IF(B71="","",H2+IFERROR(SUM($E$14:E71),0))</f>
        <v/>
      </c>
      <c r="G71" s="29"/>
    </row>
    <row r="72" customFormat="false" ht="19.5" hidden="false" customHeight="true" outlineLevel="0" collapsed="false">
      <c r="A72" s="2"/>
      <c r="B72" s="18"/>
      <c r="C72" s="19" t="str">
        <f aca="true">IF(B72="","",DATE(YEAR(TODAY()),MONTH(TODAY()),B72))</f>
        <v/>
      </c>
      <c r="D72" s="20"/>
      <c r="E72" s="21" t="str">
        <f aca="false">IF(B72="","",H2+IFERROR(SUM($D$14:D72),0))</f>
        <v/>
      </c>
      <c r="F72" s="22" t="str">
        <f aca="false">IF(B72="","",H2+IFERROR(SUM($E$14:E72),0))</f>
        <v/>
      </c>
      <c r="G72" s="23"/>
    </row>
    <row r="73" customFormat="false" ht="19.5" hidden="false" customHeight="true" outlineLevel="0" collapsed="false">
      <c r="A73" s="2"/>
      <c r="B73" s="24"/>
      <c r="C73" s="25" t="str">
        <f aca="true">IF(B73="","",DATE(YEAR(TODAY()),MONTH(TODAY()),B73))</f>
        <v/>
      </c>
      <c r="D73" s="26"/>
      <c r="E73" s="27" t="str">
        <f aca="false">IF(B73="","",H2+IFERROR(SUM($D$14:D73),0))</f>
        <v/>
      </c>
      <c r="F73" s="28" t="str">
        <f aca="false">IF(B73="","",H2+IFERROR(SUM($E$14:E73),0))</f>
        <v/>
      </c>
      <c r="G73" s="29"/>
    </row>
    <row r="74" customFormat="false" ht="19.5" hidden="false" customHeight="true" outlineLevel="0" collapsed="false">
      <c r="A74" s="2"/>
      <c r="B74" s="18"/>
      <c r="C74" s="19" t="str">
        <f aca="true">IF(B74="","",DATE(YEAR(TODAY()),MONTH(TODAY()),B74))</f>
        <v/>
      </c>
      <c r="D74" s="20"/>
      <c r="E74" s="21" t="str">
        <f aca="false">IF(B74="","",H2+IFERROR(SUM($D$14:D74),0))</f>
        <v/>
      </c>
      <c r="F74" s="22" t="str">
        <f aca="false">IF(B74="","",H2+IFERROR(SUM($E$14:E74),0))</f>
        <v/>
      </c>
      <c r="G74" s="23"/>
    </row>
    <row r="75" customFormat="false" ht="19.5" hidden="false" customHeight="true" outlineLevel="0" collapsed="false">
      <c r="A75" s="2"/>
      <c r="B75" s="24"/>
      <c r="C75" s="25" t="str">
        <f aca="true">IF(B75="","",DATE(YEAR(TODAY()),MONTH(TODAY()),B75))</f>
        <v/>
      </c>
      <c r="D75" s="26"/>
      <c r="E75" s="27" t="str">
        <f aca="false">IF(B75="","",H2+IFERROR(SUM($D$14:D75),0))</f>
        <v/>
      </c>
      <c r="F75" s="28" t="str">
        <f aca="false">IF(B75="","",H2+IFERROR(SUM($E$14:E75),0))</f>
        <v/>
      </c>
      <c r="G75" s="29"/>
    </row>
    <row r="76" customFormat="false" ht="19.5" hidden="false" customHeight="true" outlineLevel="0" collapsed="false">
      <c r="A76" s="2"/>
      <c r="B76" s="18"/>
      <c r="C76" s="19" t="str">
        <f aca="true">IF(B76="","",DATE(YEAR(TODAY()),MONTH(TODAY()),B76))</f>
        <v/>
      </c>
      <c r="D76" s="20"/>
      <c r="E76" s="21" t="str">
        <f aca="false">IF(B76="","",H2+IFERROR(SUM($D$14:D76),0))</f>
        <v/>
      </c>
      <c r="F76" s="22" t="str">
        <f aca="false">IF(B76="","",H2+IFERROR(SUM($E$14:E76),0))</f>
        <v/>
      </c>
      <c r="G76" s="23"/>
    </row>
    <row r="77" customFormat="false" ht="19.5" hidden="false" customHeight="true" outlineLevel="0" collapsed="false">
      <c r="A77" s="2"/>
      <c r="B77" s="24"/>
      <c r="C77" s="25" t="str">
        <f aca="true">IF(B77="","",DATE(YEAR(TODAY()),MONTH(TODAY()),B77))</f>
        <v/>
      </c>
      <c r="D77" s="26"/>
      <c r="E77" s="27" t="str">
        <f aca="false">IF(B77="","",H2+IFERROR(SUM($D$14:D77),0))</f>
        <v/>
      </c>
      <c r="F77" s="28" t="str">
        <f aca="false">IF(B77="","",H2+IFERROR(SUM($E$14:E77),0))</f>
        <v/>
      </c>
      <c r="G77" s="29"/>
    </row>
    <row r="78" customFormat="false" ht="19.5" hidden="false" customHeight="true" outlineLevel="0" collapsed="false">
      <c r="A78" s="2"/>
      <c r="B78" s="18"/>
      <c r="C78" s="19" t="str">
        <f aca="true">IF(B78="","",DATE(YEAR(TODAY()),MONTH(TODAY()),B78))</f>
        <v/>
      </c>
      <c r="D78" s="20"/>
      <c r="E78" s="21" t="str">
        <f aca="false">IF(B78="","",H2+IFERROR(SUM($D$14:D78),0))</f>
        <v/>
      </c>
      <c r="F78" s="22" t="str">
        <f aca="false">IF(B78="","",H2+IFERROR(SUM($E$14:E78),0))</f>
        <v/>
      </c>
      <c r="G78" s="23"/>
    </row>
    <row r="79" customFormat="false" ht="19.5" hidden="false" customHeight="true" outlineLevel="0" collapsed="false">
      <c r="A79" s="2"/>
      <c r="B79" s="24"/>
      <c r="C79" s="25" t="str">
        <f aca="true">IF(B79="","",DATE(YEAR(TODAY()),MONTH(TODAY()),B79))</f>
        <v/>
      </c>
      <c r="D79" s="26"/>
      <c r="E79" s="27" t="str">
        <f aca="false">IF(B79="","",H2+IFERROR(SUM($D$14:D79),0))</f>
        <v/>
      </c>
      <c r="F79" s="28" t="str">
        <f aca="false">IF(B79="","",H2+IFERROR(SUM($E$14:E79),0))</f>
        <v/>
      </c>
      <c r="G79" s="29"/>
    </row>
    <row r="80" customFormat="false" ht="19.5" hidden="false" customHeight="true" outlineLevel="0" collapsed="false">
      <c r="A80" s="2"/>
      <c r="B80" s="18"/>
      <c r="C80" s="19" t="str">
        <f aca="true">IF(B80="","",DATE(YEAR(TODAY()),MONTH(TODAY()),B80))</f>
        <v/>
      </c>
      <c r="D80" s="20"/>
      <c r="E80" s="21" t="str">
        <f aca="false">IF(B80="","",H2+IFERROR(SUM($D$14:D80),0))</f>
        <v/>
      </c>
      <c r="F80" s="22" t="str">
        <f aca="false">IF(B80="","",H2+IFERROR(SUM($E$14:E80),0))</f>
        <v/>
      </c>
      <c r="G80" s="23"/>
    </row>
    <row r="81" customFormat="false" ht="19.5" hidden="false" customHeight="true" outlineLevel="0" collapsed="false">
      <c r="A81" s="2"/>
      <c r="B81" s="24"/>
      <c r="C81" s="25" t="str">
        <f aca="true">IF(B81="","",DATE(YEAR(TODAY()),MONTH(TODAY()),B81))</f>
        <v/>
      </c>
      <c r="D81" s="26"/>
      <c r="E81" s="27" t="str">
        <f aca="false">IF(B81="","",H2+IFERROR(SUM($D$14:D81),0))</f>
        <v/>
      </c>
      <c r="F81" s="28" t="str">
        <f aca="false">IF(B81="","",H2+IFERROR(SUM($E$14:E81),0))</f>
        <v/>
      </c>
      <c r="G81" s="29"/>
    </row>
    <row r="82" customFormat="false" ht="19.5" hidden="false" customHeight="true" outlineLevel="0" collapsed="false">
      <c r="A82" s="2"/>
      <c r="B82" s="18"/>
      <c r="C82" s="19" t="str">
        <f aca="true">IF(B82="","",DATE(YEAR(TODAY()),MONTH(TODAY()),B82))</f>
        <v/>
      </c>
      <c r="D82" s="20"/>
      <c r="E82" s="21" t="str">
        <f aca="false">IF(B82="","",H2+IFERROR(SUM($D$14:D82),0))</f>
        <v/>
      </c>
      <c r="F82" s="22" t="str">
        <f aca="false">IF(B82="","",H2+IFERROR(SUM($E$14:E82),0))</f>
        <v/>
      </c>
      <c r="G82" s="23"/>
    </row>
    <row r="83" customFormat="false" ht="19.5" hidden="false" customHeight="true" outlineLevel="0" collapsed="false">
      <c r="A83" s="2"/>
      <c r="B83" s="24"/>
      <c r="C83" s="25" t="str">
        <f aca="true">IF(B83="","",DATE(YEAR(TODAY()),MONTH(TODAY()),B83))</f>
        <v/>
      </c>
      <c r="D83" s="26"/>
      <c r="E83" s="27" t="str">
        <f aca="false">IF(B83="","",H2+IFERROR(SUM($D$14:D83),0))</f>
        <v/>
      </c>
      <c r="F83" s="28" t="str">
        <f aca="false">IF(B83="","",H2+IFERROR(SUM($E$14:E83),0))</f>
        <v/>
      </c>
      <c r="G83" s="29"/>
    </row>
    <row r="84" customFormat="false" ht="19.5" hidden="false" customHeight="true" outlineLevel="0" collapsed="false">
      <c r="A84" s="2"/>
      <c r="B84" s="18"/>
      <c r="C84" s="19" t="str">
        <f aca="true">IF(B84="","",DATE(YEAR(TODAY()),MONTH(TODAY()),B84))</f>
        <v/>
      </c>
      <c r="D84" s="20"/>
      <c r="E84" s="21" t="str">
        <f aca="false">IF(B84="","",H2+IFERROR(SUM($D$14:D84),0))</f>
        <v/>
      </c>
      <c r="F84" s="22" t="str">
        <f aca="false">IF(B84="","",H2+IFERROR(SUM($E$14:E84),0))</f>
        <v/>
      </c>
      <c r="G84" s="23"/>
    </row>
    <row r="85" customFormat="false" ht="19.5" hidden="false" customHeight="true" outlineLevel="0" collapsed="false">
      <c r="A85" s="2"/>
      <c r="B85" s="24"/>
      <c r="C85" s="25" t="str">
        <f aca="true">IF(B85="","",DATE(YEAR(TODAY()),MONTH(TODAY()),B85))</f>
        <v/>
      </c>
      <c r="D85" s="26"/>
      <c r="E85" s="27" t="str">
        <f aca="false">IF(B85="","",H2+IFERROR(SUM($D$14:D85),0))</f>
        <v/>
      </c>
      <c r="F85" s="28" t="str">
        <f aca="false">IF(B85="","",H2+IFERROR(SUM($E$14:E85),0))</f>
        <v/>
      </c>
      <c r="G85" s="29"/>
    </row>
    <row r="86" customFormat="false" ht="19.5" hidden="false" customHeight="true" outlineLevel="0" collapsed="false">
      <c r="A86" s="2"/>
      <c r="B86" s="18"/>
      <c r="C86" s="19" t="str">
        <f aca="true">IF(B86="","",DATE(YEAR(TODAY()),MONTH(TODAY()),B86))</f>
        <v/>
      </c>
      <c r="D86" s="20"/>
      <c r="E86" s="21" t="str">
        <f aca="false">IF(B86="","",H2+IFERROR(SUM($D$14:D86),0))</f>
        <v/>
      </c>
      <c r="F86" s="22" t="str">
        <f aca="false">IF(B86="","",H2+IFERROR(SUM($E$14:E86),0))</f>
        <v/>
      </c>
      <c r="G86" s="23"/>
    </row>
    <row r="87" customFormat="false" ht="19.5" hidden="false" customHeight="true" outlineLevel="0" collapsed="false">
      <c r="A87" s="2"/>
      <c r="B87" s="24"/>
      <c r="C87" s="25" t="str">
        <f aca="true">IF(B87="","",DATE(YEAR(TODAY()),MONTH(TODAY()),B87))</f>
        <v/>
      </c>
      <c r="D87" s="26"/>
      <c r="E87" s="27" t="str">
        <f aca="false">IF(B87="","",H2+IFERROR(SUM($D$14:D87),0))</f>
        <v/>
      </c>
      <c r="F87" s="28" t="str">
        <f aca="false">IF(B87="","",H2+IFERROR(SUM($E$14:E87),0))</f>
        <v/>
      </c>
      <c r="G87" s="29"/>
    </row>
    <row r="88" customFormat="false" ht="19.5" hidden="false" customHeight="true" outlineLevel="0" collapsed="false">
      <c r="A88" s="2"/>
      <c r="B88" s="18"/>
      <c r="C88" s="19" t="str">
        <f aca="true">IF(B88="","",DATE(YEAR(TODAY()),MONTH(TODAY()),B88))</f>
        <v/>
      </c>
      <c r="D88" s="20"/>
      <c r="E88" s="21" t="str">
        <f aca="false">IF(B88="","",H2+IFERROR(SUM($D$14:D88),0))</f>
        <v/>
      </c>
      <c r="F88" s="22" t="str">
        <f aca="false">IF(B88="","",H2+IFERROR(SUM($E$14:E88),0))</f>
        <v/>
      </c>
      <c r="G88" s="23"/>
    </row>
    <row r="89" customFormat="false" ht="19.5" hidden="false" customHeight="true" outlineLevel="0" collapsed="false">
      <c r="A89" s="2"/>
      <c r="B89" s="24"/>
      <c r="C89" s="25" t="str">
        <f aca="true">IF(B89="","",DATE(YEAR(TODAY()),MONTH(TODAY()),B89))</f>
        <v/>
      </c>
      <c r="D89" s="26"/>
      <c r="E89" s="27" t="str">
        <f aca="false">IF(B89="","",H2+IFERROR(SUM($D$14:D89),0))</f>
        <v/>
      </c>
      <c r="F89" s="28" t="str">
        <f aca="false">IF(B89="","",H2+IFERROR(SUM($E$14:E89),0))</f>
        <v/>
      </c>
      <c r="G89" s="29"/>
    </row>
    <row r="90" customFormat="false" ht="19.5" hidden="false" customHeight="true" outlineLevel="0" collapsed="false">
      <c r="A90" s="2"/>
      <c r="B90" s="18"/>
      <c r="C90" s="19" t="str">
        <f aca="true">IF(B90="","",DATE(YEAR(TODAY()),MONTH(TODAY()),B90))</f>
        <v/>
      </c>
      <c r="D90" s="20"/>
      <c r="E90" s="21" t="str">
        <f aca="false">IF(B90="","",H2+IFERROR(SUM($D$14:D90),0))</f>
        <v/>
      </c>
      <c r="F90" s="22" t="str">
        <f aca="false">IF(B90="","",H2+IFERROR(SUM($E$14:E90),0))</f>
        <v/>
      </c>
      <c r="G90" s="23"/>
    </row>
    <row r="91" customFormat="false" ht="19.5" hidden="false" customHeight="true" outlineLevel="0" collapsed="false">
      <c r="A91" s="2"/>
      <c r="B91" s="24"/>
      <c r="C91" s="25" t="str">
        <f aca="true">IF(B91="","",DATE(YEAR(TODAY()),MONTH(TODAY()),B91))</f>
        <v/>
      </c>
      <c r="D91" s="26"/>
      <c r="E91" s="27" t="str">
        <f aca="false">IF(B91="","",H2+IFERROR(SUM($D$14:D91),0))</f>
        <v/>
      </c>
      <c r="F91" s="28" t="str">
        <f aca="false">IF(B91="","",H2+IFERROR(SUM($E$14:E91),0))</f>
        <v/>
      </c>
      <c r="G91" s="29"/>
    </row>
    <row r="92" customFormat="false" ht="19.5" hidden="false" customHeight="true" outlineLevel="0" collapsed="false">
      <c r="A92" s="2"/>
      <c r="B92" s="18"/>
      <c r="C92" s="19" t="str">
        <f aca="true">IF(B92="","",DATE(YEAR(TODAY()),MONTH(TODAY()),B92))</f>
        <v/>
      </c>
      <c r="D92" s="20"/>
      <c r="E92" s="21" t="str">
        <f aca="false">IF(B92="","",H2+IFERROR(SUM($D$14:D92),0))</f>
        <v/>
      </c>
      <c r="F92" s="22" t="str">
        <f aca="false">IF(B92="","",H2+IFERROR(SUM($E$14:E92),0))</f>
        <v/>
      </c>
      <c r="G92" s="23"/>
    </row>
    <row r="93" customFormat="false" ht="19.5" hidden="false" customHeight="true" outlineLevel="0" collapsed="false">
      <c r="A93" s="2"/>
      <c r="B93" s="24"/>
      <c r="C93" s="25" t="str">
        <f aca="true">IF(B93="","",DATE(YEAR(TODAY()),MONTH(TODAY()),B93))</f>
        <v/>
      </c>
      <c r="D93" s="26"/>
      <c r="E93" s="27" t="str">
        <f aca="false">IF(B93="","",H2+IFERROR(SUM($D$14:D93),0))</f>
        <v/>
      </c>
      <c r="F93" s="28" t="str">
        <f aca="false">IF(B93="","",H2+IFERROR(SUM($E$14:E93),0))</f>
        <v/>
      </c>
      <c r="G93" s="29"/>
    </row>
    <row r="94" customFormat="false" ht="19.5" hidden="false" customHeight="true" outlineLevel="0" collapsed="false">
      <c r="A94" s="2"/>
      <c r="B94" s="18"/>
      <c r="C94" s="19" t="str">
        <f aca="true">IF(B94="","",DATE(YEAR(TODAY()),MONTH(TODAY()),B94))</f>
        <v/>
      </c>
      <c r="D94" s="20"/>
      <c r="E94" s="21" t="str">
        <f aca="false">IF(B94="","",H2+IFERROR(SUM($D$14:D94),0))</f>
        <v/>
      </c>
      <c r="F94" s="22" t="str">
        <f aca="false">IF(B94="","",H2+IFERROR(SUM($E$14:E94),0))</f>
        <v/>
      </c>
      <c r="G94" s="23"/>
    </row>
    <row r="95" customFormat="false" ht="19.5" hidden="false" customHeight="true" outlineLevel="0" collapsed="false">
      <c r="A95" s="2"/>
      <c r="B95" s="24"/>
      <c r="C95" s="25" t="str">
        <f aca="true">IF(B95="","",DATE(YEAR(TODAY()),MONTH(TODAY()),B95))</f>
        <v/>
      </c>
      <c r="D95" s="26"/>
      <c r="E95" s="27" t="str">
        <f aca="false">IF(B95="","",H2+IFERROR(SUM($D$14:D95),0))</f>
        <v/>
      </c>
      <c r="F95" s="28" t="str">
        <f aca="false">IF(B95="","",H2+IFERROR(SUM($E$14:E95),0))</f>
        <v/>
      </c>
      <c r="G95" s="29"/>
    </row>
    <row r="96" customFormat="false" ht="19.5" hidden="false" customHeight="true" outlineLevel="0" collapsed="false">
      <c r="A96" s="2"/>
      <c r="B96" s="18"/>
      <c r="C96" s="19" t="str">
        <f aca="true">IF(B96="","",DATE(YEAR(TODAY()),MONTH(TODAY()),B96))</f>
        <v/>
      </c>
      <c r="D96" s="20"/>
      <c r="E96" s="21" t="str">
        <f aca="false">IF(B96="","",H2+IFERROR(SUM($D$14:D96),0))</f>
        <v/>
      </c>
      <c r="F96" s="22" t="str">
        <f aca="false">IF(B96="","",H2+IFERROR(SUM($E$14:E96),0))</f>
        <v/>
      </c>
      <c r="G96" s="23"/>
    </row>
    <row r="97" customFormat="false" ht="19.5" hidden="false" customHeight="true" outlineLevel="0" collapsed="false">
      <c r="A97" s="2"/>
      <c r="B97" s="24"/>
      <c r="C97" s="25" t="str">
        <f aca="true">IF(B97="","",DATE(YEAR(TODAY()),MONTH(TODAY()),B97))</f>
        <v/>
      </c>
      <c r="D97" s="26"/>
      <c r="E97" s="27" t="str">
        <f aca="false">IF(B97="","",H2+IFERROR(SUM($D$14:D97),0))</f>
        <v/>
      </c>
      <c r="F97" s="28" t="str">
        <f aca="false">IF(B97="","",H2+IFERROR(SUM($E$14:E97),0))</f>
        <v/>
      </c>
      <c r="G97" s="29"/>
    </row>
    <row r="98" customFormat="false" ht="19.5" hidden="false" customHeight="true" outlineLevel="0" collapsed="false">
      <c r="A98" s="2"/>
      <c r="B98" s="18"/>
      <c r="C98" s="19" t="str">
        <f aca="true">IF(B98="","",DATE(YEAR(TODAY()),MONTH(TODAY()),B98))</f>
        <v/>
      </c>
      <c r="D98" s="20"/>
      <c r="E98" s="21" t="str">
        <f aca="false">IF(B98="","",H2+IFERROR(SUM($D$14:D98),0))</f>
        <v/>
      </c>
      <c r="F98" s="22" t="str">
        <f aca="false">IF(B98="","",H2+IFERROR(SUM($E$14:E98),0))</f>
        <v/>
      </c>
      <c r="G98" s="23"/>
    </row>
    <row r="99" customFormat="false" ht="19.5" hidden="false" customHeight="true" outlineLevel="0" collapsed="false">
      <c r="A99" s="2"/>
      <c r="B99" s="24"/>
      <c r="C99" s="25" t="str">
        <f aca="true">IF(B99="","",DATE(YEAR(TODAY()),MONTH(TODAY()),B99))</f>
        <v/>
      </c>
      <c r="D99" s="26"/>
      <c r="E99" s="27" t="str">
        <f aca="false">IF(B99="","",H2+IFERROR(SUM($D$14:D99),0))</f>
        <v/>
      </c>
      <c r="F99" s="28" t="str">
        <f aca="false">IF(B99="","",H2+IFERROR(SUM($E$14:E99),0))</f>
        <v/>
      </c>
      <c r="G99" s="29"/>
    </row>
    <row r="100" customFormat="false" ht="19.5" hidden="false" customHeight="true" outlineLevel="0" collapsed="false">
      <c r="A100" s="2"/>
      <c r="B100" s="18"/>
      <c r="C100" s="19" t="str">
        <f aca="true">IF(B100="","",DATE(YEAR(TODAY()),MONTH(TODAY()),B100))</f>
        <v/>
      </c>
      <c r="D100" s="20"/>
      <c r="E100" s="21" t="str">
        <f aca="false">IF(B100="","",H2+IFERROR(SUM($D$14:D100),0))</f>
        <v/>
      </c>
      <c r="F100" s="22" t="str">
        <f aca="false">IF(B100="","",H2+IFERROR(SUM($E$14:E100),0))</f>
        <v/>
      </c>
      <c r="G100" s="23"/>
    </row>
    <row r="101" customFormat="false" ht="19.5" hidden="false" customHeight="true" outlineLevel="0" collapsed="false">
      <c r="A101" s="2"/>
      <c r="B101" s="24"/>
      <c r="C101" s="25" t="str">
        <f aca="true">IF(B101="","",DATE(YEAR(TODAY()),MONTH(TODAY()),B101))</f>
        <v/>
      </c>
      <c r="D101" s="26"/>
      <c r="E101" s="27" t="str">
        <f aca="false">IF(B101="","",H2+IFERROR(SUM($D$14:D101),0))</f>
        <v/>
      </c>
      <c r="F101" s="28" t="str">
        <f aca="false">IF(B101="","",H2+IFERROR(SUM($E$14:E101),0))</f>
        <v/>
      </c>
      <c r="G101" s="29"/>
    </row>
    <row r="102" customFormat="false" ht="19.5" hidden="false" customHeight="true" outlineLevel="0" collapsed="false">
      <c r="A102" s="2"/>
      <c r="B102" s="18"/>
      <c r="C102" s="19" t="str">
        <f aca="true">IF(B102="","",DATE(YEAR(TODAY()),MONTH(TODAY()),B102))</f>
        <v/>
      </c>
      <c r="D102" s="20"/>
      <c r="E102" s="21" t="str">
        <f aca="false">IF(B102="","",H2+IFERROR(SUM($D$14:D102),0))</f>
        <v/>
      </c>
      <c r="F102" s="22" t="str">
        <f aca="false">IF(B102="","",H2+IFERROR(SUM($E$14:E102),0))</f>
        <v/>
      </c>
      <c r="G102" s="23"/>
    </row>
    <row r="103" customFormat="false" ht="19.5" hidden="false" customHeight="true" outlineLevel="0" collapsed="false">
      <c r="A103" s="2"/>
      <c r="B103" s="24"/>
      <c r="C103" s="25" t="str">
        <f aca="true">IF(B103="","",DATE(YEAR(TODAY()),MONTH(TODAY()),B103))</f>
        <v/>
      </c>
      <c r="D103" s="26"/>
      <c r="E103" s="27" t="str">
        <f aca="false">IF(B103="","",H2+IFERROR(SUM($D$14:D103),0))</f>
        <v/>
      </c>
      <c r="F103" s="28" t="str">
        <f aca="false">IF(B103="","",H2+IFERROR(SUM($E$14:E103),0))</f>
        <v/>
      </c>
      <c r="G103" s="29"/>
    </row>
    <row r="104" customFormat="false" ht="19.5" hidden="false" customHeight="true" outlineLevel="0" collapsed="false">
      <c r="A104" s="2"/>
      <c r="B104" s="18"/>
      <c r="C104" s="19" t="str">
        <f aca="true">IF(B104="","",DATE(YEAR(TODAY()),MONTH(TODAY()),B104))</f>
        <v/>
      </c>
      <c r="D104" s="20"/>
      <c r="E104" s="21" t="str">
        <f aca="false">IF(B104="","",H2+IFERROR(SUM($D$14:D104),0))</f>
        <v/>
      </c>
      <c r="F104" s="22" t="str">
        <f aca="false">IF(B104="","",H2+IFERROR(SUM($E$14:E104),0))</f>
        <v/>
      </c>
      <c r="G104" s="23"/>
    </row>
    <row r="105" customFormat="false" ht="19.5" hidden="false" customHeight="true" outlineLevel="0" collapsed="false">
      <c r="A105" s="2"/>
      <c r="B105" s="24"/>
      <c r="C105" s="25" t="str">
        <f aca="true">IF(B105="","",DATE(YEAR(TODAY()),MONTH(TODAY()),B105))</f>
        <v/>
      </c>
      <c r="D105" s="26"/>
      <c r="E105" s="27" t="str">
        <f aca="false">IF(B105="","",H2+IFERROR(SUM($D$14:D105),0))</f>
        <v/>
      </c>
      <c r="F105" s="28" t="str">
        <f aca="false">IF(B105="","",H2+IFERROR(SUM($E$14:E105),0))</f>
        <v/>
      </c>
      <c r="G105" s="29"/>
    </row>
    <row r="106" customFormat="false" ht="19.5" hidden="false" customHeight="true" outlineLevel="0" collapsed="false">
      <c r="A106" s="2"/>
      <c r="B106" s="18"/>
      <c r="C106" s="19" t="str">
        <f aca="true">IF(B106="","",DATE(YEAR(TODAY()),MONTH(TODAY()),B106))</f>
        <v/>
      </c>
      <c r="D106" s="20"/>
      <c r="E106" s="21" t="str">
        <f aca="false">IF(B106="","",H2+IFERROR(SUM($D$14:D106),0))</f>
        <v/>
      </c>
      <c r="F106" s="22" t="str">
        <f aca="false">IF(B106="","",H2+IFERROR(SUM($E$14:E106),0))</f>
        <v/>
      </c>
      <c r="G106" s="23"/>
    </row>
    <row r="107" customFormat="false" ht="19.5" hidden="false" customHeight="true" outlineLevel="0" collapsed="false">
      <c r="A107" s="2"/>
      <c r="B107" s="24"/>
      <c r="C107" s="25" t="str">
        <f aca="true">IF(B107="","",DATE(YEAR(TODAY()),MONTH(TODAY()),B107))</f>
        <v/>
      </c>
      <c r="D107" s="26"/>
      <c r="E107" s="27" t="str">
        <f aca="false">IF(B107="","",H2+IFERROR(SUM($D$14:D107),0))</f>
        <v/>
      </c>
      <c r="F107" s="28" t="str">
        <f aca="false">IF(B107="","",H2+IFERROR(SUM($E$14:E107),0))</f>
        <v/>
      </c>
      <c r="G107" s="29"/>
    </row>
    <row r="108" customFormat="false" ht="19.5" hidden="false" customHeight="true" outlineLevel="0" collapsed="false">
      <c r="A108" s="2"/>
      <c r="B108" s="18"/>
      <c r="C108" s="19" t="str">
        <f aca="true">IF(B108="","",DATE(YEAR(TODAY()),MONTH(TODAY()),B108))</f>
        <v/>
      </c>
      <c r="D108" s="20"/>
      <c r="E108" s="21" t="str">
        <f aca="false">IF(B108="","",H2+IFERROR(SUM($D$14:D108),0))</f>
        <v/>
      </c>
      <c r="F108" s="22" t="str">
        <f aca="false">IF(B108="","",H2+IFERROR(SUM($E$14:E108),0))</f>
        <v/>
      </c>
      <c r="G108" s="23"/>
    </row>
    <row r="109" customFormat="false" ht="19.5" hidden="false" customHeight="true" outlineLevel="0" collapsed="false">
      <c r="A109" s="2"/>
      <c r="B109" s="24"/>
      <c r="C109" s="25" t="str">
        <f aca="true">IF(B109="","",DATE(YEAR(TODAY()),MONTH(TODAY()),B109))</f>
        <v/>
      </c>
      <c r="D109" s="26"/>
      <c r="E109" s="27" t="str">
        <f aca="false">IF(B109="","",H2+IFERROR(SUM($D$14:D109),0))</f>
        <v/>
      </c>
      <c r="F109" s="28" t="str">
        <f aca="false">IF(B109="","",H2+IFERROR(SUM($E$14:E109),0))</f>
        <v/>
      </c>
      <c r="G109" s="29"/>
    </row>
    <row r="110" customFormat="false" ht="19.5" hidden="false" customHeight="true" outlineLevel="0" collapsed="false">
      <c r="A110" s="2"/>
      <c r="B110" s="18"/>
      <c r="C110" s="19" t="str">
        <f aca="true">IF(B110="","",DATE(YEAR(TODAY()),MONTH(TODAY()),B110))</f>
        <v/>
      </c>
      <c r="D110" s="20"/>
      <c r="E110" s="21" t="str">
        <f aca="false">IF(B110="","",H2+IFERROR(SUM($D$14:D110),0))</f>
        <v/>
      </c>
      <c r="F110" s="22" t="str">
        <f aca="false">IF(B110="","",H2+IFERROR(SUM($E$14:E110),0))</f>
        <v/>
      </c>
      <c r="G110" s="23"/>
    </row>
    <row r="111" customFormat="false" ht="19.5" hidden="false" customHeight="true" outlineLevel="0" collapsed="false">
      <c r="A111" s="2"/>
      <c r="B111" s="24"/>
      <c r="C111" s="25" t="str">
        <f aca="true">IF(B111="","",DATE(YEAR(TODAY()),MONTH(TODAY()),B111))</f>
        <v/>
      </c>
      <c r="D111" s="26"/>
      <c r="E111" s="27" t="str">
        <f aca="false">IF(B111="","",H2+IFERROR(SUM($D$14:D111),0))</f>
        <v/>
      </c>
      <c r="F111" s="28" t="str">
        <f aca="false">IF(B111="","",H2+IFERROR(SUM($E$14:E111),0))</f>
        <v/>
      </c>
      <c r="G111" s="29"/>
    </row>
    <row r="112" customFormat="false" ht="19.5" hidden="false" customHeight="true" outlineLevel="0" collapsed="false">
      <c r="A112" s="2"/>
      <c r="B112" s="18"/>
      <c r="C112" s="19" t="str">
        <f aca="true">IF(B112="","",DATE(YEAR(TODAY()),MONTH(TODAY()),B112))</f>
        <v/>
      </c>
      <c r="D112" s="20"/>
      <c r="E112" s="21" t="str">
        <f aca="false">IF(B112="","",H2+IFERROR(SUM($D$14:D112),0))</f>
        <v/>
      </c>
      <c r="F112" s="22" t="str">
        <f aca="false">IF(B112="","",H2+IFERROR(SUM($E$14:E112),0))</f>
        <v/>
      </c>
      <c r="G112" s="23"/>
    </row>
    <row r="113" customFormat="false" ht="19.5" hidden="false" customHeight="true" outlineLevel="0" collapsed="false">
      <c r="A113" s="2"/>
      <c r="B113" s="24"/>
      <c r="C113" s="25" t="str">
        <f aca="true">IF(B113="","",DATE(YEAR(TODAY()),MONTH(TODAY()),B113))</f>
        <v/>
      </c>
      <c r="D113" s="26"/>
      <c r="E113" s="27" t="str">
        <f aca="false">IF(B113="","",H2+IFERROR(SUM($D$14:D113),0))</f>
        <v/>
      </c>
      <c r="F113" s="28" t="str">
        <f aca="false">IF(B113="","",H2+IFERROR(SUM($E$14:E113),0))</f>
        <v/>
      </c>
      <c r="G113" s="29"/>
    </row>
    <row r="114" customFormat="false" ht="21.75" hidden="false" customHeight="true" outlineLevel="0" collapsed="false">
      <c r="A114" s="2"/>
      <c r="B114" s="30" t="s">
        <v>14</v>
      </c>
      <c r="C114" s="31"/>
      <c r="D114" s="32"/>
      <c r="E114" s="33" t="n">
        <f aca="false">SUM(E14:E113)</f>
        <v>0</v>
      </c>
      <c r="F114" s="34" t="n">
        <f aca="false">IFERROR(LOOKUP(2,1/(F14:F113&lt;&gt;""),F14:F113),H2)</f>
        <v>2500</v>
      </c>
      <c r="G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</row>
  </sheetData>
  <mergeCells count="6">
    <mergeCell ref="B2:F2"/>
    <mergeCell ref="F4:F6"/>
    <mergeCell ref="B8:F8"/>
    <mergeCell ref="B10:F10"/>
    <mergeCell ref="B11:G11"/>
    <mergeCell ref="B12:F12"/>
  </mergeCells>
  <conditionalFormatting sqref="D14:D113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E14:E113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D46"/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.51"/>
  </cols>
  <sheetData>
    <row r="1" customFormat="false" ht="9.75" hidden="false" customHeight="true" outlineLevel="0" collapsed="false">
      <c r="A1" s="2"/>
      <c r="B1" s="2"/>
      <c r="C1" s="2"/>
      <c r="D1" s="2"/>
    </row>
    <row r="2" customFormat="false" ht="39.75" hidden="false" customHeight="true" outlineLevel="0" collapsed="false">
      <c r="A2" s="2"/>
      <c r="B2" s="35" t="s">
        <v>15</v>
      </c>
      <c r="C2" s="35"/>
      <c r="D2" s="2"/>
    </row>
    <row r="3" customFormat="false" ht="15" hidden="false" customHeight="true" outlineLevel="0" collapsed="false">
      <c r="A3" s="2"/>
      <c r="B3" s="2"/>
      <c r="C3" s="2"/>
      <c r="D3" s="2"/>
    </row>
    <row r="4" customFormat="false" ht="21.75" hidden="false" customHeight="true" outlineLevel="0" collapsed="false">
      <c r="A4" s="2"/>
      <c r="B4" s="36" t="s">
        <v>16</v>
      </c>
      <c r="C4" s="36"/>
      <c r="D4" s="2"/>
    </row>
    <row r="5" customFormat="false" ht="6" hidden="false" customHeight="true" outlineLevel="0" collapsed="false">
      <c r="A5" s="2"/>
      <c r="B5" s="2"/>
      <c r="C5" s="2"/>
      <c r="D5" s="2"/>
    </row>
    <row r="6" customFormat="false" ht="19.5" hidden="false" customHeight="true" outlineLevel="0" collapsed="false">
      <c r="A6" s="2"/>
      <c r="B6" s="29" t="s">
        <v>17</v>
      </c>
      <c r="C6" s="37" t="n">
        <f aca="false">'Trade Log'!H2</f>
        <v>2500</v>
      </c>
      <c r="D6" s="2"/>
    </row>
    <row r="7" customFormat="false" ht="19.5" hidden="false" customHeight="true" outlineLevel="0" collapsed="false">
      <c r="A7" s="2"/>
      <c r="B7" s="23" t="s">
        <v>18</v>
      </c>
      <c r="C7" s="38" t="n">
        <f aca="false">'Trade Log'!H4</f>
        <v>2500</v>
      </c>
      <c r="D7" s="2"/>
    </row>
    <row r="8" customFormat="false" ht="19.5" hidden="false" customHeight="true" outlineLevel="0" collapsed="false">
      <c r="A8" s="2"/>
      <c r="B8" s="29" t="s">
        <v>19</v>
      </c>
      <c r="C8" s="39" t="n">
        <f aca="false">'Trade Log'!H5</f>
        <v>0</v>
      </c>
      <c r="D8" s="2"/>
    </row>
    <row r="9" customFormat="false" ht="19.5" hidden="false" customHeight="true" outlineLevel="0" collapsed="false">
      <c r="A9" s="2"/>
      <c r="B9" s="23" t="s">
        <v>20</v>
      </c>
      <c r="C9" s="40" t="n">
        <f aca="false">'Trade Log'!H6</f>
        <v>0</v>
      </c>
      <c r="D9" s="2"/>
    </row>
    <row r="10" customFormat="false" ht="19.5" hidden="false" customHeight="true" outlineLevel="0" collapsed="false">
      <c r="A10" s="2"/>
      <c r="B10" s="29" t="s">
        <v>21</v>
      </c>
      <c r="C10" s="41" t="str">
        <f aca="false">'Trade Log'!H14</f>
        <v>Step 1</v>
      </c>
      <c r="D10" s="2"/>
    </row>
    <row r="11" customFormat="false" ht="15" hidden="false" customHeight="true" outlineLevel="0" collapsed="false">
      <c r="A11" s="2"/>
      <c r="B11" s="2"/>
      <c r="C11" s="2"/>
      <c r="D11" s="2"/>
    </row>
    <row r="12" customFormat="false" ht="21.75" hidden="false" customHeight="true" outlineLevel="0" collapsed="false">
      <c r="A12" s="2"/>
      <c r="B12" s="36" t="s">
        <v>22</v>
      </c>
      <c r="C12" s="36"/>
      <c r="D12" s="2"/>
    </row>
    <row r="13" customFormat="false" ht="6" hidden="false" customHeight="tru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2"/>
      <c r="B14" s="29" t="s">
        <v>23</v>
      </c>
      <c r="C14" s="42" t="n">
        <f aca="false">'Trade Log'!H7</f>
        <v>0</v>
      </c>
      <c r="D14" s="2"/>
    </row>
    <row r="15" customFormat="false" ht="19.5" hidden="false" customHeight="true" outlineLevel="0" collapsed="false">
      <c r="A15" s="2"/>
      <c r="B15" s="23" t="s">
        <v>24</v>
      </c>
      <c r="C15" s="43" t="n">
        <f aca="false">'Trade Log'!H8</f>
        <v>0</v>
      </c>
      <c r="D15" s="2"/>
    </row>
    <row r="16" customFormat="false" ht="19.5" hidden="false" customHeight="true" outlineLevel="0" collapsed="false">
      <c r="A16" s="2"/>
      <c r="B16" s="29" t="s">
        <v>25</v>
      </c>
      <c r="C16" s="44" t="n">
        <f aca="false">'Trade Log'!H9</f>
        <v>125</v>
      </c>
      <c r="D16" s="2"/>
    </row>
    <row r="17" customFormat="false" ht="19.5" hidden="false" customHeight="true" outlineLevel="0" collapsed="false">
      <c r="A17" s="2"/>
      <c r="B17" s="23" t="s">
        <v>26</v>
      </c>
      <c r="C17" s="43" t="n">
        <f aca="false">'Trade Log'!H10</f>
        <v>0</v>
      </c>
      <c r="D17" s="2"/>
    </row>
    <row r="18" customFormat="false" ht="19.5" hidden="false" customHeight="true" outlineLevel="0" collapsed="false">
      <c r="A18" s="2"/>
      <c r="B18" s="29" t="s">
        <v>6</v>
      </c>
      <c r="C18" s="44" t="n">
        <f aca="false">'Trade Log'!H11</f>
        <v>250</v>
      </c>
      <c r="D18" s="2"/>
    </row>
    <row r="19" customFormat="false" ht="15" hidden="false" customHeight="true" outlineLevel="0" collapsed="false">
      <c r="A19" s="2"/>
      <c r="B19" s="2"/>
      <c r="C19" s="2"/>
      <c r="D19" s="2"/>
    </row>
    <row r="20" customFormat="false" ht="21.75" hidden="false" customHeight="true" outlineLevel="0" collapsed="false">
      <c r="A20" s="2"/>
      <c r="B20" s="36" t="s">
        <v>27</v>
      </c>
      <c r="C20" s="36"/>
      <c r="D20" s="2"/>
    </row>
    <row r="21" customFormat="false" ht="6" hidden="false" customHeight="true" outlineLevel="0" collapsed="false">
      <c r="A21" s="2"/>
      <c r="B21" s="2"/>
      <c r="C21" s="2"/>
      <c r="D21" s="2"/>
    </row>
    <row r="22" customFormat="false" ht="19.5" hidden="false" customHeight="true" outlineLevel="0" collapsed="false">
      <c r="A22" s="2"/>
      <c r="B22" s="29" t="s">
        <v>28</v>
      </c>
      <c r="C22" s="45" t="n">
        <f aca="false">'Trade Log'!H12</f>
        <v>1</v>
      </c>
      <c r="D22" s="2"/>
    </row>
    <row r="23" customFormat="false" ht="19.5" hidden="false" customHeight="true" outlineLevel="0" collapsed="false">
      <c r="A23" s="2"/>
      <c r="B23" s="23" t="s">
        <v>4</v>
      </c>
      <c r="C23" s="43" t="n">
        <f aca="false">'Trade Log'!H13</f>
        <v>0</v>
      </c>
      <c r="D23" s="2"/>
    </row>
    <row r="24" customFormat="false" ht="15" hidden="false" customHeight="true" outlineLevel="0" collapsed="false">
      <c r="A24" s="2"/>
      <c r="B24" s="2"/>
      <c r="C24" s="2"/>
      <c r="D24" s="2"/>
    </row>
    <row r="25" customFormat="false" ht="21.75" hidden="false" customHeight="true" outlineLevel="0" collapsed="false">
      <c r="A25" s="2"/>
      <c r="B25" s="36" t="s">
        <v>29</v>
      </c>
      <c r="C25" s="36"/>
      <c r="D25" s="2"/>
    </row>
    <row r="26" customFormat="false" ht="6" hidden="false" customHeight="true" outlineLevel="0" collapsed="false">
      <c r="A26" s="2"/>
      <c r="B26" s="2"/>
      <c r="C26" s="2"/>
      <c r="D26" s="2"/>
    </row>
    <row r="27" customFormat="false" ht="19.5" hidden="false" customHeight="true" outlineLevel="0" collapsed="false">
      <c r="A27" s="2"/>
      <c r="B27" s="23" t="s">
        <v>30</v>
      </c>
      <c r="C27" s="46" t="n">
        <f aca="false">'Trade Log'!H15</f>
        <v>0</v>
      </c>
      <c r="D27" s="2"/>
    </row>
    <row r="28" customFormat="false" ht="19.5" hidden="false" customHeight="true" outlineLevel="0" collapsed="false">
      <c r="A28" s="2"/>
      <c r="B28" s="29" t="s">
        <v>31</v>
      </c>
      <c r="C28" s="47" t="n">
        <f aca="false">'Trade Log'!H16</f>
        <v>0</v>
      </c>
      <c r="D28" s="2"/>
    </row>
    <row r="29" customFormat="false" ht="15" hidden="false" customHeight="true" outlineLevel="0" collapsed="false">
      <c r="A29" s="2"/>
      <c r="B29" s="2"/>
      <c r="C29" s="2"/>
      <c r="D29" s="2"/>
    </row>
    <row r="30" customFormat="false" ht="21.75" hidden="false" customHeight="true" outlineLevel="0" collapsed="false">
      <c r="A30" s="2"/>
      <c r="B30" s="36" t="s">
        <v>32</v>
      </c>
      <c r="C30" s="36"/>
      <c r="D30" s="2"/>
    </row>
    <row r="31" customFormat="false" ht="6" hidden="false" customHeight="true" outlineLevel="0" collapsed="false">
      <c r="A31" s="2"/>
      <c r="B31" s="2"/>
      <c r="C31" s="2"/>
      <c r="D31" s="2"/>
    </row>
    <row r="32" customFormat="false" ht="19.5" hidden="false" customHeight="true" outlineLevel="0" collapsed="false">
      <c r="A32" s="2"/>
      <c r="B32" s="29" t="s">
        <v>33</v>
      </c>
      <c r="C32" s="48" t="str">
        <f aca="false">IF('Trade Log'!H8&gt;=0.05,"🚨 STOP — Limit Hit",IF('Trade Log'!H8&gt;=0.03,"⚠️ Caution","✅ OK"))</f>
        <v>✅ OK</v>
      </c>
      <c r="D32" s="2"/>
    </row>
    <row r="33" customFormat="false" ht="19.5" hidden="false" customHeight="true" outlineLevel="0" collapsed="false">
      <c r="A33" s="2"/>
      <c r="B33" s="23" t="s">
        <v>34</v>
      </c>
      <c r="C33" s="49" t="str">
        <f aca="false">IF('Trade Log'!H10&gt;=0.1,"🚨 BLOWN — Max DD Hit","✅ OK")</f>
        <v>✅ OK</v>
      </c>
      <c r="D33" s="2"/>
    </row>
    <row r="34" customFormat="false" ht="19.5" hidden="false" customHeight="true" outlineLevel="0" collapsed="false">
      <c r="A34" s="2"/>
      <c r="B34" s="29" t="s">
        <v>35</v>
      </c>
      <c r="C34" s="48" t="str">
        <f aca="false">IF('Trade Log'!H15&gt;=1,"🏆 PASSED!","⏳ In Progress")</f>
        <v>⏳ In Progress</v>
      </c>
      <c r="D34" s="2"/>
    </row>
    <row r="35" customFormat="false" ht="19.5" hidden="false" customHeight="true" outlineLevel="0" collapsed="false">
      <c r="A35" s="2"/>
      <c r="B35" s="23" t="s">
        <v>36</v>
      </c>
      <c r="C35" s="49" t="str">
        <f aca="false">IF('Trade Log'!H16&gt;=1,"🏆 FUNDED!","⏳ In Progress")</f>
        <v>⏳ In Progress</v>
      </c>
      <c r="D35" s="2"/>
    </row>
    <row r="36" customFormat="false" ht="15" hidden="false" customHeight="true" outlineLevel="0" collapsed="false">
      <c r="A36" s="2"/>
      <c r="B36" s="2"/>
      <c r="C36" s="2"/>
      <c r="D36" s="2"/>
    </row>
    <row r="37" customFormat="false" ht="15" hidden="false" customHeight="true" outlineLevel="0" collapsed="false">
      <c r="A37" s="2"/>
      <c r="B37" s="2"/>
      <c r="C37" s="2"/>
      <c r="D37" s="2"/>
    </row>
    <row r="38" customFormat="false" ht="15" hidden="false" customHeight="true" outlineLevel="0" collapsed="false">
      <c r="A38" s="2"/>
      <c r="B38" s="2"/>
      <c r="C38" s="2"/>
      <c r="D38" s="2"/>
    </row>
    <row r="39" customFormat="false" ht="15" hidden="false" customHeight="true" outlineLevel="0" collapsed="false">
      <c r="A39" s="2"/>
      <c r="B39" s="2"/>
      <c r="C39" s="2"/>
      <c r="D39" s="2"/>
    </row>
    <row r="40" customFormat="false" ht="15" hidden="false" customHeight="true" outlineLevel="0" collapsed="false">
      <c r="A40" s="2"/>
      <c r="B40" s="2"/>
      <c r="C40" s="2"/>
      <c r="D40" s="2"/>
    </row>
    <row r="41" customFormat="false" ht="15" hidden="false" customHeight="true" outlineLevel="0" collapsed="false">
      <c r="A41" s="2"/>
      <c r="B41" s="2"/>
      <c r="C41" s="2"/>
      <c r="D41" s="2"/>
    </row>
    <row r="42" customFormat="false" ht="15" hidden="false" customHeight="true" outlineLevel="0" collapsed="false">
      <c r="A42" s="2"/>
      <c r="B42" s="2"/>
      <c r="C42" s="2"/>
      <c r="D42" s="2"/>
    </row>
    <row r="43" customFormat="false" ht="15" hidden="false" customHeight="true" outlineLevel="0" collapsed="false">
      <c r="A43" s="2"/>
      <c r="B43" s="2"/>
      <c r="C43" s="2"/>
      <c r="D43" s="2"/>
    </row>
    <row r="44" customFormat="false" ht="15" hidden="false" customHeight="true" outlineLevel="0" collapsed="false">
      <c r="A44" s="2"/>
      <c r="B44" s="2"/>
      <c r="C44" s="2"/>
      <c r="D44" s="2"/>
    </row>
    <row r="45" customFormat="false" ht="15" hidden="false" customHeight="true" outlineLevel="0" collapsed="false">
      <c r="A45" s="2"/>
      <c r="B45" s="2"/>
      <c r="C45" s="2"/>
      <c r="D45" s="2"/>
    </row>
    <row r="46" customFormat="false" ht="15" hidden="false" customHeight="true" outlineLevel="0" collapsed="false">
      <c r="A46" s="2"/>
      <c r="B46" s="2"/>
      <c r="C46" s="2"/>
      <c r="D46" s="2"/>
    </row>
    <row r="47" customFormat="false" ht="15" hidden="false" customHeight="true" outlineLevel="0" collapsed="false">
      <c r="A47" s="2"/>
      <c r="B47" s="2"/>
      <c r="C47" s="2"/>
      <c r="D47" s="2"/>
    </row>
    <row r="48" customFormat="false" ht="15" hidden="false" customHeight="true" outlineLevel="0" collapsed="false">
      <c r="A48" s="2"/>
      <c r="B48" s="2"/>
      <c r="C48" s="2"/>
      <c r="D48" s="2"/>
    </row>
    <row r="49" customFormat="false" ht="15" hidden="false" customHeight="true" outlineLevel="0" collapsed="false">
      <c r="A49" s="2"/>
      <c r="B49" s="2"/>
      <c r="C49" s="2"/>
      <c r="D49" s="2"/>
    </row>
    <row r="50" customFormat="false" ht="15" hidden="false" customHeight="true" outlineLevel="0" collapsed="false">
      <c r="A50" s="2"/>
      <c r="B50" s="2"/>
      <c r="C50" s="2"/>
      <c r="D50" s="2"/>
    </row>
    <row r="51" customFormat="false" ht="15" hidden="false" customHeight="true" outlineLevel="0" collapsed="false">
      <c r="A51" s="2"/>
      <c r="B51" s="2"/>
      <c r="C51" s="2"/>
      <c r="D51" s="2"/>
    </row>
    <row r="52" customFormat="false" ht="15" hidden="false" customHeight="true" outlineLevel="0" collapsed="false">
      <c r="A52" s="2"/>
      <c r="B52" s="2"/>
      <c r="C52" s="2"/>
      <c r="D52" s="2"/>
    </row>
    <row r="53" customFormat="false" ht="15" hidden="false" customHeight="true" outlineLevel="0" collapsed="false">
      <c r="A53" s="2"/>
      <c r="B53" s="2"/>
      <c r="C53" s="2"/>
      <c r="D53" s="2"/>
    </row>
    <row r="54" customFormat="false" ht="15" hidden="false" customHeight="true" outlineLevel="0" collapsed="false">
      <c r="A54" s="2"/>
      <c r="B54" s="2"/>
      <c r="C54" s="2"/>
      <c r="D54" s="2"/>
    </row>
  </sheetData>
  <mergeCells count="6">
    <mergeCell ref="B2:C2"/>
    <mergeCell ref="B4:C4"/>
    <mergeCell ref="B12:C12"/>
    <mergeCell ref="B20:C20"/>
    <mergeCell ref="B25:C25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2026-03-11T11:28:48Z</dcterms:created>
  <dc:creator>openpyxl</dc:creator>
  <dc:description/>
  <dc:language>en-US</dc:language>
  <cp:lastModifiedBy/>
  <dcterms:modified xsi:type="dcterms:W3CDTF">2026-03-11T13:59:47Z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